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gen/Documents/Long context/BoatSE 2025/replication_package/"/>
    </mc:Choice>
  </mc:AlternateContent>
  <xr:revisionPtr revIDLastSave="0" documentId="13_ncr:1_{E17488CB-5C40-A34E-A9B5-5E563214B7EE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Experiment results" sheetId="1" r:id="rId1"/>
    <sheet name="Logs 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9" i="2" l="1"/>
  <c r="E94" i="2"/>
  <c r="E87" i="2"/>
  <c r="E82" i="2"/>
  <c r="C68" i="2"/>
  <c r="C67" i="2"/>
  <c r="C66" i="2"/>
  <c r="C65" i="2"/>
  <c r="C64" i="2"/>
  <c r="C61" i="2"/>
  <c r="C60" i="2"/>
  <c r="C59" i="2"/>
  <c r="C58" i="2"/>
  <c r="C57" i="2"/>
  <c r="C52" i="2"/>
  <c r="C51" i="2"/>
  <c r="C50" i="2"/>
  <c r="C49" i="2"/>
  <c r="C48" i="2"/>
  <c r="C45" i="2"/>
  <c r="C44" i="2"/>
  <c r="C43" i="2"/>
  <c r="C42" i="2"/>
  <c r="C41" i="2"/>
  <c r="G30" i="2"/>
  <c r="F30" i="2"/>
  <c r="E30" i="2"/>
  <c r="D30" i="2"/>
  <c r="C30" i="2"/>
  <c r="B30" i="2"/>
  <c r="G26" i="2"/>
  <c r="F26" i="2"/>
  <c r="E26" i="2"/>
  <c r="D26" i="2"/>
  <c r="C26" i="2"/>
  <c r="B26" i="2"/>
  <c r="G21" i="2"/>
  <c r="F21" i="2"/>
  <c r="E21" i="2"/>
  <c r="D21" i="2"/>
  <c r="C21" i="2"/>
  <c r="B21" i="2"/>
  <c r="G17" i="2"/>
  <c r="F17" i="2"/>
  <c r="E17" i="2"/>
  <c r="D17" i="2"/>
  <c r="C17" i="2"/>
  <c r="B17" i="2"/>
  <c r="G12" i="2"/>
  <c r="F12" i="2"/>
  <c r="E12" i="2"/>
  <c r="D12" i="2"/>
  <c r="C12" i="2"/>
  <c r="B12" i="2"/>
  <c r="G8" i="2"/>
  <c r="F8" i="2"/>
  <c r="E8" i="2"/>
  <c r="D8" i="2"/>
  <c r="C8" i="2"/>
  <c r="B8" i="2"/>
  <c r="I101" i="1"/>
  <c r="H101" i="1"/>
  <c r="G101" i="1"/>
  <c r="F101" i="1"/>
  <c r="E101" i="1"/>
  <c r="D101" i="1"/>
  <c r="I100" i="1"/>
  <c r="H100" i="1"/>
  <c r="G100" i="1"/>
  <c r="F100" i="1"/>
  <c r="E100" i="1"/>
  <c r="D100" i="1"/>
  <c r="I98" i="1"/>
  <c r="H98" i="1"/>
  <c r="G98" i="1"/>
  <c r="F98" i="1"/>
  <c r="E98" i="1"/>
  <c r="D98" i="1"/>
  <c r="I97" i="1"/>
  <c r="H97" i="1"/>
  <c r="G97" i="1"/>
  <c r="F97" i="1"/>
  <c r="E97" i="1"/>
  <c r="D97" i="1"/>
  <c r="I81" i="1"/>
  <c r="H81" i="1"/>
  <c r="G81" i="1"/>
  <c r="F81" i="1"/>
  <c r="E81" i="1"/>
  <c r="D81" i="1"/>
  <c r="I80" i="1"/>
  <c r="H80" i="1"/>
  <c r="G80" i="1"/>
  <c r="F80" i="1"/>
  <c r="E80" i="1"/>
  <c r="D80" i="1"/>
  <c r="I78" i="1"/>
  <c r="H78" i="1"/>
  <c r="G78" i="1"/>
  <c r="F78" i="1"/>
  <c r="E78" i="1"/>
  <c r="D78" i="1"/>
  <c r="I77" i="1"/>
  <c r="H77" i="1"/>
  <c r="G77" i="1"/>
  <c r="F77" i="1"/>
  <c r="E77" i="1"/>
  <c r="D77" i="1"/>
  <c r="I59" i="1"/>
  <c r="H59" i="1"/>
  <c r="G59" i="1"/>
  <c r="F59" i="1"/>
  <c r="E59" i="1"/>
  <c r="D59" i="1"/>
  <c r="I58" i="1"/>
  <c r="H58" i="1"/>
  <c r="G58" i="1"/>
  <c r="F58" i="1"/>
  <c r="E58" i="1"/>
  <c r="D58" i="1"/>
  <c r="I56" i="1"/>
  <c r="H56" i="1"/>
  <c r="G56" i="1"/>
  <c r="F56" i="1"/>
  <c r="E56" i="1"/>
  <c r="D56" i="1"/>
  <c r="I55" i="1"/>
  <c r="H55" i="1"/>
  <c r="G55" i="1"/>
  <c r="F55" i="1"/>
  <c r="E55" i="1"/>
  <c r="D55" i="1"/>
  <c r="I39" i="1"/>
  <c r="H39" i="1"/>
  <c r="G39" i="1"/>
  <c r="F39" i="1"/>
  <c r="E39" i="1"/>
  <c r="D39" i="1"/>
  <c r="I38" i="1"/>
  <c r="H38" i="1"/>
  <c r="G38" i="1"/>
  <c r="F38" i="1"/>
  <c r="E38" i="1"/>
  <c r="D38" i="1"/>
  <c r="I36" i="1"/>
  <c r="H36" i="1"/>
  <c r="G36" i="1"/>
  <c r="F36" i="1"/>
  <c r="E36" i="1"/>
  <c r="D36" i="1"/>
  <c r="I35" i="1"/>
  <c r="H35" i="1"/>
  <c r="G35" i="1"/>
  <c r="F35" i="1"/>
  <c r="E35" i="1"/>
  <c r="D35" i="1"/>
</calcChain>
</file>

<file path=xl/sharedStrings.xml><?xml version="1.0" encoding="utf-8"?>
<sst xmlns="http://schemas.openxmlformats.org/spreadsheetml/2006/main" count="235" uniqueCount="80">
  <si>
    <t>Experiment results</t>
  </si>
  <si>
    <t>Model</t>
  </si>
  <si>
    <t>Settings</t>
  </si>
  <si>
    <t>MAP@</t>
  </si>
  <si>
    <t>Hit@</t>
  </si>
  <si>
    <t>Notes</t>
  </si>
  <si>
    <t>LCA dataset</t>
  </si>
  <si>
    <t>BM25</t>
  </si>
  <si>
    <t>Full issue</t>
  </si>
  <si>
    <t>Added top-k=20 for comparison with LLM over-retrieval of 20 matches</t>
  </si>
  <si>
    <t>Relevant only, all fields</t>
  </si>
  <si>
    <t xml:space="preserve">Clearly the relevant information is more aligned with the code. </t>
  </si>
  <si>
    <t>Identifiers, code snippets, stacktrace, error message</t>
  </si>
  <si>
    <t>Loss of information here</t>
  </si>
  <si>
    <t>Identifiers, code snippets</t>
  </si>
  <si>
    <t>Better ranking than previous, worse hit@5-20</t>
  </si>
  <si>
    <t>Explanation, identifiers, code snippets</t>
  </si>
  <si>
    <t>Overall best, although a bit lower for top1</t>
  </si>
  <si>
    <t>Explanation</t>
  </si>
  <si>
    <t>Explanation, identifiers</t>
  </si>
  <si>
    <t>SWE dataset</t>
  </si>
  <si>
    <t>Strong performance with all fields</t>
  </si>
  <si>
    <t>Removing path, filename and error messages give a boost at smaller k. Hit@k varies less between variations.</t>
  </si>
  <si>
    <t>Qwen2.5-coder 32B</t>
  </si>
  <si>
    <t>Qwen3-coder 30B</t>
  </si>
  <si>
    <t>Run 1</t>
  </si>
  <si>
    <t>Run 2</t>
  </si>
  <si>
    <t>Run 3</t>
  </si>
  <si>
    <t>Average Qwen2</t>
  </si>
  <si>
    <t>Average Qwen3</t>
  </si>
  <si>
    <t>Std dev Qwen 2</t>
  </si>
  <si>
    <t>Std dev Qwen 3</t>
  </si>
  <si>
    <t>Average runtime/task (sec)</t>
  </si>
  <si>
    <t>"All" experiment</t>
  </si>
  <si>
    <t>(not related to metric)</t>
  </si>
  <si>
    <t>Average Qwen 3</t>
  </si>
  <si>
    <t>Average Qwen 2</t>
  </si>
  <si>
    <t>"Best" experiment</t>
  </si>
  <si>
    <t>SWE-BenchLite dataset</t>
  </si>
  <si>
    <t>BM25 tool usage statistics</t>
  </si>
  <si>
    <t>CLI script to extract those values from the logs: cat *.jsonl | jq -r 'select(.type == "tool_result" and .bm25_top_k != null) | .bm25_top_k' | sort | uniq -c</t>
  </si>
  <si>
    <t>For TOP1 retrieval</t>
  </si>
  <si>
    <t>SWE</t>
  </si>
  <si>
    <t>LCA</t>
  </si>
  <si>
    <t>Qwen2.5</t>
  </si>
  <si>
    <t>Run1 - all</t>
  </si>
  <si>
    <t>Run1 - best</t>
  </si>
  <si>
    <t>Average</t>
  </si>
  <si>
    <t>Qwen3</t>
  </si>
  <si>
    <t>For TOP5 retrieval</t>
  </si>
  <si>
    <t>For TOP10 retrieval</t>
  </si>
  <si>
    <t>Usage statistics per tool</t>
  </si>
  <si>
    <t>CLI script: cat qwen2.5*/*.jsonl | jq -r 'select(.type == "tool_result") |  if .bm25_top_k then "bm25_top_k"  elif .extract_relevant then "extract_relevant"  elif .view_readme then "view_readme"  else "unknown"  end' | sort | uniq -c</t>
  </si>
  <si>
    <t>For file views:  cat qwen2.5*/*.jsonl | jq -r 'select(.type == "tool_decision" and .tool_name == "view_file") | .tool_args.file_path' | wc -l</t>
  </si>
  <si>
    <t>For unique file views:  cat qwen2.5*/*.jsonl | jq -r 'select(.type == "tool_decision" and .tool_name == "view_file") | .tool_args.file_path' | sort -u | wc -l</t>
  </si>
  <si>
    <t>SWE-bench Lite</t>
  </si>
  <si>
    <t>Total</t>
  </si>
  <si>
    <t>Average per repo</t>
  </si>
  <si>
    <t>bm25_top_k</t>
  </si>
  <si>
    <t>Several calls may happen as the agent refers to tools available in a previous turn of the conversation.</t>
  </si>
  <si>
    <t>extract_relevant</t>
  </si>
  <si>
    <t>view_file</t>
  </si>
  <si>
    <t>Some files are viewed many times. This number also includes request to view invalid files.</t>
  </si>
  <si>
    <t>view_readme</t>
  </si>
  <si>
    <t>This one is never called!</t>
  </si>
  <si>
    <t>Unique file views</t>
  </si>
  <si>
    <t xml:space="preserve">Some repos have less than 10 relevant files (python files), which seems to trigger the model to keep calling bm25 </t>
  </si>
  <si>
    <t>Error conditions</t>
  </si>
  <si>
    <t>Aborted file view (too many erroneous calls for a file)</t>
  </si>
  <si>
    <t>CLI:  cat qwen2.5*/*.jsonl | jq -r 'select(.type == "abort file view" and .step == "turn_3") | .step' | wc -l</t>
  </si>
  <si>
    <t>Aborted invalid output (except file paths)</t>
  </si>
  <si>
    <t>CLI: cat qwen2.5*/*.jsonl | jq -r 'select(.type == "abort" and .reason == "still invalid after reprompts") | .reason' | wc -l</t>
  </si>
  <si>
    <t>Model timeout</t>
  </si>
  <si>
    <t>CLI: cat qwen3*/*.jsonl | jq -r 'select(.type == "timeout") | .type' | wc -l</t>
  </si>
  <si>
    <t>Aborted file view</t>
  </si>
  <si>
    <t>percent aborted:</t>
  </si>
  <si>
    <t>Model is given 3 options of BM25 retrieval (10, 20, 30), file context = 512 tokens, self-correction and self-evaluation.
Prompted with full bug description in the first turn of the conversation only (All-at-top).</t>
  </si>
  <si>
    <r>
      <rPr>
        <sz val="10"/>
        <color theme="1"/>
        <rFont val="Arial"/>
      </rPr>
      <t xml:space="preserve">Model is given 3 options of BM25 retrieval (10, 20, 30), file context = 512 tokens, self-correction and self-evaluation.
Prompted with full bug description and retrieves BM25 results with </t>
    </r>
    <r>
      <rPr>
        <b/>
        <sz val="10"/>
        <color theme="1"/>
        <rFont val="Arial"/>
      </rPr>
      <t>best</t>
    </r>
    <r>
      <rPr>
        <sz val="10"/>
        <color theme="1"/>
        <rFont val="Arial"/>
      </rPr>
      <t xml:space="preserve"> extracted information in the first turn of the conversation only (Best-at-top).</t>
    </r>
  </si>
  <si>
    <t>RQ1</t>
  </si>
  <si>
    <t>RQ2 - Agent workflows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</si>
</sst>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b/>
      <i/>
      <sz val="10"/>
      <color theme="1"/>
      <name val="Arial"/>
      <scheme val="minor"/>
    </font>
    <font>
      <u/>
      <sz val="10"/>
      <color theme="1"/>
      <name val="Arial"/>
      <scheme val="minor"/>
    </font>
    <font>
      <sz val="10"/>
      <color rgb="FF4078F2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1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5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2" borderId="2" xfId="0" applyFont="1" applyFill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1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65"/>
  <sheetViews>
    <sheetView tabSelected="1" workbookViewId="0">
      <pane ySplit="3" topLeftCell="A4" activePane="bottomLeft" state="frozen"/>
      <selection pane="bottomLeft" activeCell="A22" sqref="A22"/>
    </sheetView>
  </sheetViews>
  <sheetFormatPr baseColWidth="10" defaultColWidth="12.6640625" defaultRowHeight="15.75" customHeight="1" x14ac:dyDescent="0.15"/>
  <cols>
    <col min="1" max="1" width="24.33203125" customWidth="1"/>
    <col min="2" max="2" width="26.83203125" customWidth="1"/>
    <col min="3" max="3" width="29.1640625" customWidth="1"/>
    <col min="4" max="4" width="16.1640625" customWidth="1"/>
    <col min="5" max="6" width="14.33203125" customWidth="1"/>
    <col min="7" max="7" width="13.5" customWidth="1"/>
    <col min="8" max="8" width="12.33203125" bestFit="1" customWidth="1"/>
    <col min="9" max="9" width="13.5" customWidth="1"/>
    <col min="11" max="11" width="37.33203125" customWidth="1"/>
  </cols>
  <sheetData>
    <row r="1" spans="1:11" ht="15.75" customHeight="1" x14ac:dyDescent="0.15">
      <c r="A1" s="26" t="s">
        <v>0</v>
      </c>
      <c r="B1" s="1"/>
      <c r="C1" s="2"/>
      <c r="F1" s="3"/>
      <c r="K1" s="2"/>
    </row>
    <row r="2" spans="1:11" ht="15.75" customHeight="1" x14ac:dyDescent="0.15">
      <c r="A2" s="26" t="s">
        <v>78</v>
      </c>
      <c r="B2" s="1" t="s">
        <v>1</v>
      </c>
      <c r="C2" s="4" t="s">
        <v>2</v>
      </c>
      <c r="D2" s="19" t="s">
        <v>3</v>
      </c>
      <c r="E2" s="20"/>
      <c r="F2" s="20"/>
      <c r="G2" s="19" t="s">
        <v>4</v>
      </c>
      <c r="H2" s="20"/>
      <c r="I2" s="20"/>
      <c r="J2" s="20"/>
      <c r="K2" s="6" t="s">
        <v>5</v>
      </c>
    </row>
    <row r="3" spans="1:11" ht="15.75" customHeight="1" x14ac:dyDescent="0.15">
      <c r="A3" s="7"/>
      <c r="B3" s="7"/>
      <c r="C3" s="4"/>
      <c r="D3" s="5">
        <v>1</v>
      </c>
      <c r="E3" s="5">
        <v>5</v>
      </c>
      <c r="F3" s="8">
        <v>10</v>
      </c>
      <c r="G3" s="5">
        <v>1</v>
      </c>
      <c r="H3" s="5">
        <v>5</v>
      </c>
      <c r="I3" s="5">
        <v>10</v>
      </c>
      <c r="J3" s="5"/>
      <c r="K3" s="2"/>
    </row>
    <row r="4" spans="1:11" ht="15.75" customHeight="1" x14ac:dyDescent="0.15">
      <c r="A4" s="9" t="s">
        <v>6</v>
      </c>
      <c r="C4" s="2"/>
      <c r="D4" s="7"/>
      <c r="E4" s="7"/>
      <c r="F4" s="3"/>
      <c r="G4" s="7"/>
      <c r="H4" s="7"/>
      <c r="I4" s="7"/>
      <c r="J4" s="7"/>
      <c r="K4" s="2"/>
    </row>
    <row r="5" spans="1:11" ht="28" x14ac:dyDescent="0.15">
      <c r="A5" s="7"/>
      <c r="B5" s="7" t="s">
        <v>7</v>
      </c>
      <c r="C5" s="2" t="s">
        <v>8</v>
      </c>
      <c r="D5" s="7">
        <v>0.158</v>
      </c>
      <c r="E5" s="7">
        <v>0.25</v>
      </c>
      <c r="F5" s="3">
        <v>0.26600000000000001</v>
      </c>
      <c r="G5" s="7">
        <v>0.32</v>
      </c>
      <c r="H5" s="7">
        <v>0.65300000000000002</v>
      </c>
      <c r="I5" s="7">
        <v>0.71299999999999997</v>
      </c>
      <c r="J5" s="7">
        <v>0.81299999999999994</v>
      </c>
      <c r="K5" s="2" t="s">
        <v>9</v>
      </c>
    </row>
    <row r="6" spans="1:11" ht="28" x14ac:dyDescent="0.15">
      <c r="A6" s="7"/>
      <c r="B6" s="7" t="s">
        <v>7</v>
      </c>
      <c r="C6" s="2" t="s">
        <v>10</v>
      </c>
      <c r="D6" s="7">
        <v>0.22900000000000001</v>
      </c>
      <c r="E6" s="7">
        <v>0.33700000000000002</v>
      </c>
      <c r="F6" s="3">
        <v>0.35699999999999998</v>
      </c>
      <c r="G6" s="7">
        <v>0.44700000000000001</v>
      </c>
      <c r="H6" s="7">
        <v>0.72</v>
      </c>
      <c r="I6" s="7">
        <v>0.80700000000000005</v>
      </c>
      <c r="J6" s="7">
        <v>0.86</v>
      </c>
      <c r="K6" s="2" t="s">
        <v>11</v>
      </c>
    </row>
    <row r="7" spans="1:11" ht="28" x14ac:dyDescent="0.15">
      <c r="A7" s="9"/>
      <c r="B7" s="9" t="s">
        <v>7</v>
      </c>
      <c r="C7" s="2" t="s">
        <v>12</v>
      </c>
      <c r="D7" s="7">
        <v>0.23300000000000001</v>
      </c>
      <c r="E7" s="7">
        <v>0.318</v>
      </c>
      <c r="F7" s="3">
        <v>0.33200000000000002</v>
      </c>
      <c r="G7" s="7">
        <v>0.44</v>
      </c>
      <c r="H7" s="7">
        <v>0.65300000000000002</v>
      </c>
      <c r="I7" s="7">
        <v>0.72</v>
      </c>
      <c r="J7" s="7">
        <v>0.753</v>
      </c>
      <c r="K7" s="2" t="s">
        <v>13</v>
      </c>
    </row>
    <row r="8" spans="1:11" ht="14" x14ac:dyDescent="0.15">
      <c r="A8" s="7"/>
      <c r="B8" s="7" t="s">
        <v>7</v>
      </c>
      <c r="C8" s="2" t="s">
        <v>14</v>
      </c>
      <c r="D8" s="7">
        <v>0.247</v>
      </c>
      <c r="E8" s="7">
        <v>0.33600000000000002</v>
      </c>
      <c r="F8" s="3">
        <v>0.34899999999999998</v>
      </c>
      <c r="G8" s="7">
        <v>0.44700000000000001</v>
      </c>
      <c r="H8" s="7">
        <v>0.64</v>
      </c>
      <c r="I8" s="7">
        <v>0.68700000000000006</v>
      </c>
      <c r="J8" s="7">
        <v>0.72699999999999998</v>
      </c>
      <c r="K8" s="2" t="s">
        <v>15</v>
      </c>
    </row>
    <row r="9" spans="1:11" ht="15.75" customHeight="1" x14ac:dyDescent="0.15">
      <c r="A9" s="1"/>
      <c r="B9" s="1" t="s">
        <v>7</v>
      </c>
      <c r="C9" s="6" t="s">
        <v>16</v>
      </c>
      <c r="D9" s="1">
        <v>0.23</v>
      </c>
      <c r="E9" s="1">
        <v>0.33900000000000002</v>
      </c>
      <c r="F9" s="10">
        <v>0.35899999999999999</v>
      </c>
      <c r="G9" s="1">
        <v>0.44</v>
      </c>
      <c r="H9" s="1">
        <v>0.73299999999999998</v>
      </c>
      <c r="I9" s="1">
        <v>0.81299999999999994</v>
      </c>
      <c r="J9" s="1">
        <v>0.85299999999999998</v>
      </c>
      <c r="K9" s="2" t="s">
        <v>17</v>
      </c>
    </row>
    <row r="10" spans="1:11" ht="15.75" customHeight="1" x14ac:dyDescent="0.15">
      <c r="A10" s="7"/>
      <c r="B10" s="7" t="s">
        <v>7</v>
      </c>
      <c r="C10" s="2" t="s">
        <v>18</v>
      </c>
      <c r="D10" s="7">
        <v>0.154</v>
      </c>
      <c r="E10" s="7">
        <v>0.26700000000000002</v>
      </c>
      <c r="F10" s="3">
        <v>0.28799999999999998</v>
      </c>
      <c r="G10" s="7">
        <v>0.3</v>
      </c>
      <c r="H10" s="7">
        <v>0.66700000000000004</v>
      </c>
      <c r="I10" s="7">
        <v>0.76700000000000002</v>
      </c>
      <c r="J10" s="7">
        <v>0.83299999999999996</v>
      </c>
      <c r="K10" s="2"/>
    </row>
    <row r="11" spans="1:11" ht="15.75" customHeight="1" x14ac:dyDescent="0.15">
      <c r="A11" s="9"/>
      <c r="B11" s="9" t="s">
        <v>7</v>
      </c>
      <c r="C11" s="2" t="s">
        <v>19</v>
      </c>
      <c r="D11" s="7">
        <v>0.19800000000000001</v>
      </c>
      <c r="E11" s="7">
        <v>0.316</v>
      </c>
      <c r="F11" s="3">
        <v>0.33500000000000002</v>
      </c>
      <c r="G11" s="7">
        <v>0.36699999999999999</v>
      </c>
      <c r="H11" s="7">
        <v>0.73299999999999998</v>
      </c>
      <c r="I11" s="7">
        <v>0.79300000000000004</v>
      </c>
      <c r="J11" s="7">
        <v>0.86699999999999999</v>
      </c>
      <c r="K11" s="2"/>
    </row>
    <row r="12" spans="1:11" ht="15.75" customHeight="1" x14ac:dyDescent="0.15">
      <c r="A12" s="9"/>
      <c r="B12" s="9"/>
      <c r="C12" s="2"/>
      <c r="E12" s="7"/>
      <c r="F12" s="3"/>
      <c r="H12" s="7"/>
      <c r="I12" s="7"/>
      <c r="J12" s="7"/>
      <c r="K12" s="2"/>
    </row>
    <row r="13" spans="1:11" ht="15.75" customHeight="1" x14ac:dyDescent="0.15">
      <c r="A13" s="9" t="s">
        <v>20</v>
      </c>
      <c r="C13" s="2"/>
      <c r="E13" s="7"/>
      <c r="F13" s="3"/>
      <c r="H13" s="7"/>
      <c r="I13" s="7"/>
      <c r="J13" s="7"/>
      <c r="K13" s="2"/>
    </row>
    <row r="14" spans="1:11" ht="15.75" customHeight="1" x14ac:dyDescent="0.15">
      <c r="A14" s="7"/>
      <c r="B14" s="7" t="s">
        <v>7</v>
      </c>
      <c r="C14" s="2" t="s">
        <v>8</v>
      </c>
      <c r="D14" s="7">
        <v>0.4</v>
      </c>
      <c r="E14" s="7">
        <v>0.48799999999999999</v>
      </c>
      <c r="F14" s="3">
        <v>0.503</v>
      </c>
      <c r="G14" s="7">
        <v>0.4</v>
      </c>
      <c r="H14" s="7">
        <v>0.64</v>
      </c>
      <c r="I14" s="7">
        <v>0.753</v>
      </c>
      <c r="J14" s="7">
        <v>0.82299999999999995</v>
      </c>
      <c r="K14" s="2"/>
    </row>
    <row r="15" spans="1:11" ht="14" x14ac:dyDescent="0.15">
      <c r="A15" s="7"/>
      <c r="B15" s="7" t="s">
        <v>7</v>
      </c>
      <c r="C15" s="2" t="s">
        <v>10</v>
      </c>
      <c r="D15" s="7">
        <v>0.47299999999999998</v>
      </c>
      <c r="E15" s="7">
        <v>0.57599999999999996</v>
      </c>
      <c r="F15" s="3">
        <v>0.59199999999999997</v>
      </c>
      <c r="G15" s="7">
        <v>0.47299999999999998</v>
      </c>
      <c r="H15" s="7">
        <v>0.74</v>
      </c>
      <c r="I15" s="7">
        <v>0.85299999999999998</v>
      </c>
      <c r="J15" s="7">
        <v>0.9</v>
      </c>
      <c r="K15" s="2" t="s">
        <v>21</v>
      </c>
    </row>
    <row r="16" spans="1:11" ht="15.75" customHeight="1" x14ac:dyDescent="0.15">
      <c r="A16" s="7"/>
      <c r="B16" s="7" t="s">
        <v>7</v>
      </c>
      <c r="C16" s="2" t="s">
        <v>12</v>
      </c>
      <c r="D16" s="7">
        <v>0.47299999999999998</v>
      </c>
      <c r="E16" s="7">
        <v>0.55400000000000005</v>
      </c>
      <c r="F16" s="3">
        <v>0.56499999999999995</v>
      </c>
      <c r="G16" s="7">
        <v>0.47299999999999998</v>
      </c>
      <c r="H16" s="7">
        <v>0.67300000000000004</v>
      </c>
      <c r="I16" s="7">
        <v>0.753</v>
      </c>
      <c r="J16" s="7">
        <v>0.81299999999999994</v>
      </c>
      <c r="K16" s="2"/>
    </row>
    <row r="17" spans="1:11" ht="15.75" customHeight="1" x14ac:dyDescent="0.15">
      <c r="A17" s="1"/>
      <c r="B17" s="1" t="s">
        <v>7</v>
      </c>
      <c r="C17" s="2" t="s">
        <v>14</v>
      </c>
      <c r="D17" s="7">
        <v>0.47</v>
      </c>
      <c r="E17" s="7">
        <v>0.53800000000000003</v>
      </c>
      <c r="F17" s="3">
        <v>0.55100000000000005</v>
      </c>
      <c r="G17" s="7">
        <v>0.47</v>
      </c>
      <c r="H17" s="7">
        <v>0.64</v>
      </c>
      <c r="I17" s="7">
        <v>0.73299999999999998</v>
      </c>
      <c r="J17" s="7">
        <v>0.79700000000000004</v>
      </c>
      <c r="K17" s="6"/>
    </row>
    <row r="18" spans="1:11" ht="42" x14ac:dyDescent="0.15">
      <c r="A18" s="7"/>
      <c r="B18" s="7" t="s">
        <v>7</v>
      </c>
      <c r="C18" s="6" t="s">
        <v>16</v>
      </c>
      <c r="D18" s="1">
        <v>0.47599999999999998</v>
      </c>
      <c r="E18" s="1">
        <v>0.58399999999999996</v>
      </c>
      <c r="F18" s="10">
        <v>0.59699999999999998</v>
      </c>
      <c r="G18" s="1">
        <v>0.47599999999999998</v>
      </c>
      <c r="H18" s="1">
        <v>0.75700000000000001</v>
      </c>
      <c r="I18" s="1">
        <v>0.85299999999999998</v>
      </c>
      <c r="J18" s="1">
        <v>0.9</v>
      </c>
      <c r="K18" s="2" t="s">
        <v>22</v>
      </c>
    </row>
    <row r="19" spans="1:11" ht="15.75" customHeight="1" x14ac:dyDescent="0.15">
      <c r="A19" s="7"/>
      <c r="B19" s="7" t="s">
        <v>7</v>
      </c>
      <c r="C19" s="2" t="s">
        <v>18</v>
      </c>
      <c r="D19" s="7">
        <v>0.37</v>
      </c>
      <c r="E19" s="7">
        <v>0.434</v>
      </c>
      <c r="F19" s="3">
        <v>0.44600000000000001</v>
      </c>
      <c r="G19" s="7">
        <v>0.37</v>
      </c>
      <c r="H19" s="7">
        <v>0.65300000000000002</v>
      </c>
      <c r="I19" s="7">
        <v>0.753</v>
      </c>
      <c r="J19" s="7">
        <v>0.83299999999999996</v>
      </c>
      <c r="K19" s="2"/>
    </row>
    <row r="20" spans="1:11" ht="15.75" customHeight="1" x14ac:dyDescent="0.15">
      <c r="A20" s="7"/>
      <c r="B20" s="7" t="s">
        <v>7</v>
      </c>
      <c r="C20" s="2" t="s">
        <v>19</v>
      </c>
      <c r="D20" s="7">
        <v>0.4</v>
      </c>
      <c r="E20" s="7">
        <v>0.51500000000000001</v>
      </c>
      <c r="F20" s="3">
        <v>0.52800000000000002</v>
      </c>
      <c r="G20" s="7">
        <v>0.4</v>
      </c>
      <c r="H20" s="7">
        <v>0.71299999999999997</v>
      </c>
      <c r="I20" s="7">
        <v>0.81299999999999994</v>
      </c>
      <c r="J20" s="7">
        <v>0.89700000000000002</v>
      </c>
      <c r="K20" s="2"/>
    </row>
    <row r="21" spans="1:11" ht="15.75" customHeight="1" x14ac:dyDescent="0.15">
      <c r="A21" s="26" t="s">
        <v>79</v>
      </c>
      <c r="C21" s="2"/>
      <c r="E21" s="7"/>
      <c r="F21" s="3"/>
      <c r="H21" s="7"/>
      <c r="I21" s="7"/>
      <c r="J21" s="7"/>
      <c r="K21" s="2"/>
    </row>
    <row r="22" spans="1:11" ht="15.75" customHeight="1" x14ac:dyDescent="0.15">
      <c r="A22" s="1"/>
      <c r="B22" s="1"/>
      <c r="C22" s="2"/>
      <c r="E22" s="7"/>
      <c r="F22" s="3"/>
      <c r="H22" s="7"/>
      <c r="I22" s="7"/>
      <c r="J22" s="7"/>
      <c r="K22" s="2"/>
    </row>
    <row r="23" spans="1:11" ht="15.75" customHeight="1" x14ac:dyDescent="0.15">
      <c r="A23" s="1" t="s">
        <v>6</v>
      </c>
      <c r="C23" s="2"/>
      <c r="E23" s="7"/>
      <c r="F23" s="3"/>
      <c r="H23" s="7"/>
      <c r="I23" s="7"/>
      <c r="J23" s="7"/>
      <c r="K23" s="2"/>
    </row>
    <row r="24" spans="1:11" ht="98" x14ac:dyDescent="0.15">
      <c r="A24" s="7"/>
      <c r="B24" s="7"/>
      <c r="C24" s="24" t="s">
        <v>76</v>
      </c>
      <c r="F24" s="3"/>
      <c r="K24" s="2"/>
    </row>
    <row r="25" spans="1:11" ht="15.75" customHeight="1" x14ac:dyDescent="0.15">
      <c r="A25" s="1" t="s">
        <v>25</v>
      </c>
      <c r="B25" s="7"/>
      <c r="C25" s="2"/>
      <c r="D25" s="7"/>
      <c r="E25" s="7"/>
      <c r="F25" s="3"/>
      <c r="G25" s="7"/>
      <c r="H25" s="7"/>
      <c r="I25" s="7"/>
      <c r="K25" s="2"/>
    </row>
    <row r="26" spans="1:11" ht="13" x14ac:dyDescent="0.15">
      <c r="A26" s="7"/>
      <c r="B26" s="7" t="s">
        <v>24</v>
      </c>
      <c r="C26" s="2"/>
      <c r="D26" s="7">
        <v>0.26400000000000001</v>
      </c>
      <c r="E26" s="7">
        <v>0.47299999999999998</v>
      </c>
      <c r="F26" s="3">
        <v>0.48799999999999999</v>
      </c>
      <c r="G26" s="7">
        <v>0.51300000000000001</v>
      </c>
      <c r="H26" s="7">
        <v>0.84</v>
      </c>
      <c r="I26" s="7">
        <v>0.86699999999999999</v>
      </c>
      <c r="K26" s="2"/>
    </row>
    <row r="27" spans="1:11" ht="13" x14ac:dyDescent="0.15">
      <c r="A27" s="7"/>
      <c r="B27" s="7" t="s">
        <v>23</v>
      </c>
      <c r="C27" s="2"/>
      <c r="D27" s="7">
        <v>0.32100000000000001</v>
      </c>
      <c r="E27" s="7">
        <v>0.45200000000000001</v>
      </c>
      <c r="F27" s="3">
        <v>0.47199999999999998</v>
      </c>
      <c r="G27" s="7">
        <v>0.6</v>
      </c>
      <c r="H27" s="7">
        <v>0.85299999999999998</v>
      </c>
      <c r="I27" s="7">
        <v>0.873</v>
      </c>
      <c r="K27" s="2"/>
    </row>
    <row r="28" spans="1:11" ht="13" x14ac:dyDescent="0.15">
      <c r="A28" s="1" t="s">
        <v>26</v>
      </c>
      <c r="C28" s="2"/>
      <c r="E28" s="7"/>
      <c r="F28" s="3"/>
      <c r="H28" s="7"/>
      <c r="K28" s="2"/>
    </row>
    <row r="29" spans="1:11" ht="13" x14ac:dyDescent="0.15">
      <c r="B29" s="7" t="s">
        <v>24</v>
      </c>
      <c r="C29" s="2"/>
      <c r="D29" s="7">
        <v>0.26200000000000001</v>
      </c>
      <c r="E29" s="7">
        <v>0.47199999999999998</v>
      </c>
      <c r="F29" s="3">
        <v>0.49099999999999999</v>
      </c>
      <c r="G29" s="7">
        <v>0.51300000000000001</v>
      </c>
      <c r="H29" s="7">
        <v>0.82699999999999996</v>
      </c>
      <c r="I29" s="7">
        <v>0.86699999999999999</v>
      </c>
      <c r="K29" s="2"/>
    </row>
    <row r="30" spans="1:11" ht="13" x14ac:dyDescent="0.15">
      <c r="B30" s="7" t="s">
        <v>23</v>
      </c>
      <c r="C30" s="2"/>
      <c r="D30" s="7">
        <v>0.315</v>
      </c>
      <c r="E30" s="7">
        <v>0.45400000000000001</v>
      </c>
      <c r="F30" s="3">
        <v>0.47399999999999998</v>
      </c>
      <c r="G30" s="7">
        <v>0.59299999999999997</v>
      </c>
      <c r="H30" s="7">
        <v>0.85299999999999998</v>
      </c>
      <c r="I30" s="7">
        <v>0.88</v>
      </c>
      <c r="K30" s="2"/>
    </row>
    <row r="31" spans="1:11" ht="13" x14ac:dyDescent="0.15">
      <c r="A31" s="1" t="s">
        <v>27</v>
      </c>
      <c r="C31" s="2"/>
      <c r="E31" s="7"/>
      <c r="F31" s="3"/>
      <c r="H31" s="7"/>
      <c r="K31" s="2"/>
    </row>
    <row r="32" spans="1:11" ht="13" x14ac:dyDescent="0.15">
      <c r="B32" s="7" t="s">
        <v>24</v>
      </c>
      <c r="C32" s="2"/>
      <c r="D32" s="7">
        <v>0.26200000000000001</v>
      </c>
      <c r="E32" s="7">
        <v>0.47199999999999998</v>
      </c>
      <c r="F32" s="3">
        <v>0.49099999999999999</v>
      </c>
      <c r="G32" s="7">
        <v>0.51300000000000001</v>
      </c>
      <c r="H32" s="7">
        <v>0.82699999999999996</v>
      </c>
      <c r="I32" s="7">
        <v>0.86699999999999999</v>
      </c>
      <c r="K32" s="2"/>
    </row>
    <row r="33" spans="1:11" ht="13" x14ac:dyDescent="0.15">
      <c r="B33" s="7" t="s">
        <v>23</v>
      </c>
      <c r="C33" s="2"/>
      <c r="D33" s="7">
        <v>0.315</v>
      </c>
      <c r="E33" s="7">
        <v>0.45400000000000001</v>
      </c>
      <c r="F33" s="3">
        <v>0.47599999999999998</v>
      </c>
      <c r="G33" s="7">
        <v>0.59299999999999997</v>
      </c>
      <c r="H33" s="7">
        <v>0.85299999999999998</v>
      </c>
      <c r="I33" s="7">
        <v>0.88</v>
      </c>
      <c r="K33" s="2"/>
    </row>
    <row r="34" spans="1:11" ht="13" x14ac:dyDescent="0.15">
      <c r="A34" s="1"/>
      <c r="C34" s="2"/>
      <c r="F34" s="3"/>
      <c r="K34" s="2"/>
    </row>
    <row r="35" spans="1:11" ht="13" x14ac:dyDescent="0.15">
      <c r="A35" s="1" t="s">
        <v>28</v>
      </c>
      <c r="C35" s="2"/>
      <c r="D35" s="7">
        <f t="shared" ref="D35:I35" si="0">ROUND(AVERAGE(D27,D30,D33),3)</f>
        <v>0.317</v>
      </c>
      <c r="E35" s="7">
        <f t="shared" si="0"/>
        <v>0.45300000000000001</v>
      </c>
      <c r="F35" s="3">
        <f t="shared" si="0"/>
        <v>0.47399999999999998</v>
      </c>
      <c r="G35" s="7">
        <f t="shared" si="0"/>
        <v>0.59499999999999997</v>
      </c>
      <c r="H35" s="7">
        <f t="shared" si="0"/>
        <v>0.85299999999999998</v>
      </c>
      <c r="I35" s="7">
        <f t="shared" si="0"/>
        <v>0.878</v>
      </c>
      <c r="K35" s="2"/>
    </row>
    <row r="36" spans="1:11" ht="13" x14ac:dyDescent="0.15">
      <c r="A36" s="1" t="s">
        <v>29</v>
      </c>
      <c r="B36" s="7"/>
      <c r="C36" s="2"/>
      <c r="D36" s="7">
        <f t="shared" ref="D36:I36" si="1">ROUND(AVERAGE(D26,D29,D32),3)</f>
        <v>0.26300000000000001</v>
      </c>
      <c r="E36" s="7">
        <f t="shared" si="1"/>
        <v>0.47199999999999998</v>
      </c>
      <c r="F36" s="3">
        <f t="shared" si="1"/>
        <v>0.49</v>
      </c>
      <c r="G36" s="7">
        <f t="shared" si="1"/>
        <v>0.51300000000000001</v>
      </c>
      <c r="H36" s="7">
        <f t="shared" si="1"/>
        <v>0.83099999999999996</v>
      </c>
      <c r="I36" s="7">
        <f t="shared" si="1"/>
        <v>0.86699999999999999</v>
      </c>
      <c r="K36" s="2"/>
    </row>
    <row r="37" spans="1:11" ht="13" x14ac:dyDescent="0.15">
      <c r="A37" s="1"/>
      <c r="B37" s="7"/>
      <c r="C37" s="2"/>
      <c r="E37" s="7"/>
      <c r="F37" s="3"/>
      <c r="H37" s="7"/>
      <c r="K37" s="2"/>
    </row>
    <row r="38" spans="1:11" ht="13" x14ac:dyDescent="0.15">
      <c r="A38" s="1" t="s">
        <v>30</v>
      </c>
      <c r="B38" s="7"/>
      <c r="C38" s="2"/>
      <c r="D38" s="7">
        <f t="shared" ref="D38:I38" si="2">_xlfn.STDEV.S(D33,D30,D27)</f>
        <v>3.4641016151377578E-3</v>
      </c>
      <c r="E38" s="7">
        <f t="shared" si="2"/>
        <v>1.1547005383792527E-3</v>
      </c>
      <c r="F38" s="7">
        <f t="shared" si="2"/>
        <v>2.0000000000000018E-3</v>
      </c>
      <c r="G38" s="7">
        <f t="shared" si="2"/>
        <v>4.0414518843273836E-3</v>
      </c>
      <c r="H38" s="7">
        <f t="shared" si="2"/>
        <v>1.3597399555105182E-16</v>
      </c>
      <c r="I38" s="7">
        <f t="shared" si="2"/>
        <v>4.0414518843273836E-3</v>
      </c>
      <c r="K38" s="2"/>
    </row>
    <row r="39" spans="1:11" ht="13" x14ac:dyDescent="0.15">
      <c r="A39" s="1" t="s">
        <v>31</v>
      </c>
      <c r="B39" s="7"/>
      <c r="C39" s="2"/>
      <c r="D39" s="7">
        <f t="shared" ref="D39:I39" si="3">_xlfn.STDEV.S(D32,D29,D26)</f>
        <v>1.1547005383792527E-3</v>
      </c>
      <c r="E39" s="7">
        <f t="shared" si="3"/>
        <v>5.7735026918962634E-4</v>
      </c>
      <c r="F39" s="7">
        <f t="shared" si="3"/>
        <v>1.7320508075688789E-3</v>
      </c>
      <c r="G39" s="7">
        <f t="shared" si="3"/>
        <v>0</v>
      </c>
      <c r="H39" s="7">
        <f t="shared" si="3"/>
        <v>7.5055534994651419E-3</v>
      </c>
      <c r="I39" s="7">
        <f t="shared" si="3"/>
        <v>0</v>
      </c>
      <c r="K39" s="2"/>
    </row>
    <row r="40" spans="1:11" ht="13" x14ac:dyDescent="0.15">
      <c r="A40" s="1"/>
      <c r="B40" s="7"/>
      <c r="C40" s="2"/>
      <c r="D40" s="7"/>
      <c r="E40" s="7"/>
      <c r="F40" s="7"/>
      <c r="G40" s="7"/>
      <c r="H40" s="7"/>
      <c r="I40" s="7"/>
      <c r="K40" s="2"/>
    </row>
    <row r="41" spans="1:11" ht="13" x14ac:dyDescent="0.15">
      <c r="A41" s="1" t="s">
        <v>32</v>
      </c>
      <c r="B41" s="7"/>
      <c r="C41" s="2"/>
      <c r="D41" s="7"/>
      <c r="E41" s="7"/>
      <c r="F41" s="3"/>
      <c r="H41" s="7"/>
      <c r="K41" s="2"/>
    </row>
    <row r="42" spans="1:11" ht="14" x14ac:dyDescent="0.15">
      <c r="A42" s="9" t="s">
        <v>33</v>
      </c>
      <c r="B42" s="7" t="s">
        <v>24</v>
      </c>
      <c r="C42" s="2" t="s">
        <v>34</v>
      </c>
      <c r="D42" s="7">
        <v>23.26</v>
      </c>
      <c r="E42" s="7">
        <v>30.12</v>
      </c>
      <c r="F42" s="3">
        <v>37.81</v>
      </c>
      <c r="K42" s="2"/>
    </row>
    <row r="43" spans="1:11" ht="14" x14ac:dyDescent="0.15">
      <c r="B43" s="7" t="s">
        <v>23</v>
      </c>
      <c r="C43" s="2" t="s">
        <v>34</v>
      </c>
      <c r="D43" s="7">
        <v>83.04</v>
      </c>
      <c r="E43" s="7">
        <v>111.61</v>
      </c>
      <c r="F43" s="3">
        <v>117.88</v>
      </c>
      <c r="K43" s="2"/>
    </row>
    <row r="44" spans="1:11" ht="13" x14ac:dyDescent="0.15">
      <c r="A44" s="7"/>
      <c r="B44" s="7"/>
      <c r="C44" s="2"/>
      <c r="E44" s="7"/>
      <c r="F44" s="3"/>
      <c r="H44" s="7"/>
      <c r="K44" s="2"/>
    </row>
    <row r="45" spans="1:11" ht="126" x14ac:dyDescent="0.15">
      <c r="A45" s="7"/>
      <c r="B45" s="7"/>
      <c r="C45" s="25" t="s">
        <v>77</v>
      </c>
      <c r="E45" s="7"/>
      <c r="F45" s="3"/>
      <c r="H45" s="7"/>
      <c r="K45" s="2"/>
    </row>
    <row r="46" spans="1:11" ht="13" x14ac:dyDescent="0.15">
      <c r="A46" s="1" t="s">
        <v>25</v>
      </c>
      <c r="B46" s="7"/>
      <c r="C46" s="2"/>
      <c r="D46" s="7"/>
      <c r="E46" s="7"/>
      <c r="F46" s="3"/>
      <c r="G46" s="7"/>
      <c r="H46" s="7"/>
      <c r="I46" s="7"/>
      <c r="K46" s="2"/>
    </row>
    <row r="47" spans="1:11" ht="13" x14ac:dyDescent="0.15">
      <c r="A47" s="7"/>
      <c r="B47" s="7" t="s">
        <v>24</v>
      </c>
      <c r="C47" s="2"/>
      <c r="D47" s="7">
        <v>0.33600000000000002</v>
      </c>
      <c r="E47" s="7">
        <v>0.46500000000000002</v>
      </c>
      <c r="F47" s="3">
        <v>0.47799999999999998</v>
      </c>
      <c r="G47" s="7">
        <v>0.627</v>
      </c>
      <c r="H47" s="7">
        <v>0.85299999999999998</v>
      </c>
      <c r="I47" s="7">
        <v>0.86699999999999999</v>
      </c>
      <c r="K47" s="2"/>
    </row>
    <row r="48" spans="1:11" ht="13" x14ac:dyDescent="0.15">
      <c r="A48" s="7"/>
      <c r="B48" s="7" t="s">
        <v>23</v>
      </c>
      <c r="C48" s="2"/>
      <c r="D48" s="7">
        <v>0.32400000000000001</v>
      </c>
      <c r="E48" s="7">
        <v>0.44900000000000001</v>
      </c>
      <c r="F48" s="3">
        <v>0.46700000000000003</v>
      </c>
      <c r="G48" s="7">
        <v>0.6</v>
      </c>
      <c r="H48" s="7">
        <v>0.86</v>
      </c>
      <c r="I48" s="7">
        <v>0.86</v>
      </c>
      <c r="K48" s="2"/>
    </row>
    <row r="49" spans="1:11" ht="13" x14ac:dyDescent="0.15">
      <c r="A49" s="1" t="s">
        <v>26</v>
      </c>
      <c r="C49" s="2"/>
      <c r="E49" s="7"/>
      <c r="F49" s="3"/>
      <c r="H49" s="7"/>
      <c r="K49" s="2"/>
    </row>
    <row r="50" spans="1:11" ht="13" x14ac:dyDescent="0.15">
      <c r="B50" s="7" t="s">
        <v>24</v>
      </c>
      <c r="C50" s="2"/>
      <c r="D50" s="7">
        <v>0.33600000000000002</v>
      </c>
      <c r="E50" s="7">
        <v>0.46500000000000002</v>
      </c>
      <c r="F50" s="3">
        <v>0.47799999999999998</v>
      </c>
      <c r="G50" s="7">
        <v>0.627</v>
      </c>
      <c r="H50" s="7">
        <v>0.85299999999999998</v>
      </c>
      <c r="I50" s="7">
        <v>0.86699999999999999</v>
      </c>
      <c r="K50" s="2"/>
    </row>
    <row r="51" spans="1:11" ht="13" x14ac:dyDescent="0.15">
      <c r="B51" s="7" t="s">
        <v>23</v>
      </c>
      <c r="C51" s="2"/>
      <c r="D51" s="7">
        <v>0.32400000000000001</v>
      </c>
      <c r="E51" s="7">
        <v>0.44900000000000001</v>
      </c>
      <c r="F51" s="3">
        <v>0.46700000000000003</v>
      </c>
      <c r="G51" s="7">
        <v>0.6</v>
      </c>
      <c r="H51" s="7">
        <v>0.86</v>
      </c>
      <c r="I51" s="7">
        <v>0.86</v>
      </c>
      <c r="K51" s="2"/>
    </row>
    <row r="52" spans="1:11" ht="13" x14ac:dyDescent="0.15">
      <c r="A52" s="1" t="s">
        <v>27</v>
      </c>
      <c r="C52" s="2"/>
      <c r="E52" s="7"/>
      <c r="F52" s="3"/>
      <c r="H52" s="7"/>
      <c r="K52" s="2"/>
    </row>
    <row r="53" spans="1:11" ht="13" x14ac:dyDescent="0.15">
      <c r="B53" s="7" t="s">
        <v>24</v>
      </c>
      <c r="C53" s="2"/>
      <c r="D53" s="7">
        <v>0.33600000000000002</v>
      </c>
      <c r="E53" s="7">
        <v>0.46500000000000002</v>
      </c>
      <c r="F53" s="3">
        <v>0.47799999999999998</v>
      </c>
      <c r="G53" s="7">
        <v>0.627</v>
      </c>
      <c r="H53" s="7">
        <v>0.85299999999999998</v>
      </c>
      <c r="I53" s="7">
        <v>0.86699999999999999</v>
      </c>
      <c r="K53" s="2"/>
    </row>
    <row r="54" spans="1:11" ht="13" x14ac:dyDescent="0.15">
      <c r="B54" s="7" t="s">
        <v>23</v>
      </c>
      <c r="C54" s="2"/>
      <c r="D54" s="7">
        <v>0.32400000000000001</v>
      </c>
      <c r="E54" s="7">
        <v>0.44900000000000001</v>
      </c>
      <c r="F54" s="3">
        <v>0.46700000000000003</v>
      </c>
      <c r="G54" s="7">
        <v>0.6</v>
      </c>
      <c r="H54" s="7">
        <v>0.86</v>
      </c>
      <c r="I54" s="7">
        <v>0.86</v>
      </c>
      <c r="K54" s="2"/>
    </row>
    <row r="55" spans="1:11" ht="13" x14ac:dyDescent="0.15">
      <c r="A55" s="1" t="s">
        <v>35</v>
      </c>
      <c r="C55" s="2"/>
      <c r="D55" s="7">
        <f t="shared" ref="D55:I55" si="4">ROUND(AVERAGE(D47,D50,D53),3)</f>
        <v>0.33600000000000002</v>
      </c>
      <c r="E55" s="7">
        <f t="shared" si="4"/>
        <v>0.46500000000000002</v>
      </c>
      <c r="F55" s="3">
        <f t="shared" si="4"/>
        <v>0.47799999999999998</v>
      </c>
      <c r="G55" s="7">
        <f t="shared" si="4"/>
        <v>0.627</v>
      </c>
      <c r="H55" s="7">
        <f t="shared" si="4"/>
        <v>0.85299999999999998</v>
      </c>
      <c r="I55" s="7">
        <f t="shared" si="4"/>
        <v>0.86699999999999999</v>
      </c>
      <c r="K55" s="2"/>
    </row>
    <row r="56" spans="1:11" ht="13" x14ac:dyDescent="0.15">
      <c r="A56" s="1" t="s">
        <v>36</v>
      </c>
      <c r="B56" s="7"/>
      <c r="C56" s="2"/>
      <c r="D56" s="7">
        <f t="shared" ref="D56:I56" si="5">ROUND(AVERAGE(D48,D51,D54),3)</f>
        <v>0.32400000000000001</v>
      </c>
      <c r="E56" s="7">
        <f t="shared" si="5"/>
        <v>0.44900000000000001</v>
      </c>
      <c r="F56" s="3">
        <f t="shared" si="5"/>
        <v>0.46700000000000003</v>
      </c>
      <c r="G56" s="7">
        <f t="shared" si="5"/>
        <v>0.6</v>
      </c>
      <c r="H56" s="7">
        <f t="shared" si="5"/>
        <v>0.86</v>
      </c>
      <c r="I56" s="7">
        <f t="shared" si="5"/>
        <v>0.86</v>
      </c>
      <c r="K56" s="2"/>
    </row>
    <row r="57" spans="1:11" ht="13" x14ac:dyDescent="0.15">
      <c r="B57" s="7"/>
      <c r="C57" s="2"/>
      <c r="E57" s="7"/>
      <c r="F57" s="3"/>
      <c r="H57" s="7"/>
      <c r="K57" s="2"/>
    </row>
    <row r="58" spans="1:11" ht="13" x14ac:dyDescent="0.15">
      <c r="A58" s="1" t="s">
        <v>30</v>
      </c>
      <c r="B58" s="7"/>
      <c r="C58" s="2"/>
      <c r="D58" s="7">
        <f t="shared" ref="D58:I58" si="6">STDEV(D48,D51,D54)</f>
        <v>0</v>
      </c>
      <c r="E58" s="7">
        <f t="shared" si="6"/>
        <v>0</v>
      </c>
      <c r="F58" s="7">
        <f t="shared" si="6"/>
        <v>0</v>
      </c>
      <c r="G58" s="7">
        <f t="shared" si="6"/>
        <v>0</v>
      </c>
      <c r="H58" s="7">
        <f t="shared" si="6"/>
        <v>0</v>
      </c>
      <c r="I58" s="7">
        <f t="shared" si="6"/>
        <v>0</v>
      </c>
      <c r="K58" s="2"/>
    </row>
    <row r="59" spans="1:11" ht="13" x14ac:dyDescent="0.15">
      <c r="A59" s="1" t="s">
        <v>31</v>
      </c>
      <c r="B59" s="7"/>
      <c r="C59" s="2"/>
      <c r="D59" s="7">
        <f t="shared" ref="D59:I59" si="7">STDEV(D47,D50,D53)</f>
        <v>0</v>
      </c>
      <c r="E59" s="7">
        <f t="shared" si="7"/>
        <v>0</v>
      </c>
      <c r="F59" s="7">
        <f t="shared" si="7"/>
        <v>0</v>
      </c>
      <c r="G59" s="7">
        <f t="shared" si="7"/>
        <v>0</v>
      </c>
      <c r="H59" s="7">
        <f t="shared" si="7"/>
        <v>1.3597399555105182E-16</v>
      </c>
      <c r="I59" s="7">
        <f t="shared" si="7"/>
        <v>0</v>
      </c>
      <c r="K59" s="2"/>
    </row>
    <row r="60" spans="1:11" ht="13" x14ac:dyDescent="0.15">
      <c r="B60" s="7"/>
      <c r="C60" s="2"/>
      <c r="E60" s="7"/>
      <c r="F60" s="3"/>
      <c r="H60" s="7"/>
      <c r="K60" s="2"/>
    </row>
    <row r="61" spans="1:11" ht="13" x14ac:dyDescent="0.15">
      <c r="A61" s="1" t="s">
        <v>32</v>
      </c>
      <c r="B61" s="7"/>
      <c r="C61" s="2"/>
      <c r="D61" s="7"/>
      <c r="E61" s="7"/>
      <c r="F61" s="3"/>
      <c r="H61" s="7"/>
      <c r="K61" s="2"/>
    </row>
    <row r="62" spans="1:11" ht="14" x14ac:dyDescent="0.15">
      <c r="A62" s="9" t="s">
        <v>37</v>
      </c>
      <c r="B62" s="7" t="s">
        <v>24</v>
      </c>
      <c r="C62" s="2" t="s">
        <v>34</v>
      </c>
      <c r="D62" s="7">
        <v>31.87</v>
      </c>
      <c r="E62" s="7">
        <v>37.54</v>
      </c>
      <c r="F62" s="3">
        <v>49.78</v>
      </c>
      <c r="H62" s="7"/>
      <c r="K62" s="2"/>
    </row>
    <row r="63" spans="1:11" ht="14" x14ac:dyDescent="0.15">
      <c r="B63" s="7" t="s">
        <v>23</v>
      </c>
      <c r="C63" s="2" t="s">
        <v>34</v>
      </c>
      <c r="D63" s="7">
        <v>75.900000000000006</v>
      </c>
      <c r="E63" s="7">
        <v>101.26</v>
      </c>
      <c r="F63" s="3">
        <v>105.47</v>
      </c>
      <c r="H63" s="7"/>
      <c r="K63" s="2"/>
    </row>
    <row r="64" spans="1:11" ht="13" x14ac:dyDescent="0.15">
      <c r="C64" s="2"/>
      <c r="E64" s="7"/>
      <c r="F64" s="3"/>
      <c r="H64" s="7"/>
      <c r="K64" s="2"/>
    </row>
    <row r="65" spans="1:11" ht="13" x14ac:dyDescent="0.15">
      <c r="F65" s="3"/>
      <c r="K65" s="2"/>
    </row>
    <row r="66" spans="1:11" ht="13" x14ac:dyDescent="0.15">
      <c r="A66" s="1" t="s">
        <v>38</v>
      </c>
      <c r="B66" s="1"/>
      <c r="C66" s="2"/>
      <c r="F66" s="3"/>
      <c r="K66" s="2"/>
    </row>
    <row r="67" spans="1:11" ht="98" x14ac:dyDescent="0.15">
      <c r="A67" s="7"/>
      <c r="B67" s="7"/>
      <c r="C67" s="24" t="s">
        <v>76</v>
      </c>
      <c r="F67" s="3"/>
      <c r="K67" s="2"/>
    </row>
    <row r="68" spans="1:11" ht="13" x14ac:dyDescent="0.15">
      <c r="A68" s="1" t="s">
        <v>25</v>
      </c>
      <c r="B68" s="7"/>
      <c r="C68" s="2"/>
      <c r="D68" s="7"/>
      <c r="E68" s="7"/>
      <c r="F68" s="3"/>
      <c r="G68" s="7"/>
      <c r="H68" s="7"/>
      <c r="I68" s="7"/>
      <c r="K68" s="2"/>
    </row>
    <row r="69" spans="1:11" ht="13" x14ac:dyDescent="0.15">
      <c r="A69" s="7"/>
      <c r="B69" s="7" t="s">
        <v>24</v>
      </c>
      <c r="C69" s="2"/>
      <c r="D69" s="7">
        <v>0.68300000000000005</v>
      </c>
      <c r="E69" s="7">
        <v>0.78200000000000003</v>
      </c>
      <c r="F69" s="3">
        <v>0.78900000000000003</v>
      </c>
      <c r="G69" s="7">
        <v>0.68300000000000005</v>
      </c>
      <c r="H69" s="7">
        <v>0.89</v>
      </c>
      <c r="I69" s="7">
        <v>0.92</v>
      </c>
      <c r="K69" s="2"/>
    </row>
    <row r="70" spans="1:11" ht="13" x14ac:dyDescent="0.15">
      <c r="A70" s="7"/>
      <c r="B70" s="7" t="s">
        <v>23</v>
      </c>
      <c r="C70" s="2"/>
      <c r="D70" s="7">
        <v>0.65</v>
      </c>
      <c r="E70" s="7">
        <v>0.746</v>
      </c>
      <c r="F70" s="3">
        <v>0.75600000000000001</v>
      </c>
      <c r="G70" s="7">
        <v>0.65</v>
      </c>
      <c r="H70" s="7">
        <v>0.89</v>
      </c>
      <c r="I70" s="7">
        <v>0.93</v>
      </c>
      <c r="K70" s="2"/>
    </row>
    <row r="71" spans="1:11" ht="13" x14ac:dyDescent="0.15">
      <c r="A71" s="1" t="s">
        <v>26</v>
      </c>
      <c r="C71" s="2"/>
      <c r="F71" s="3"/>
      <c r="K71" s="2"/>
    </row>
    <row r="72" spans="1:11" ht="13" x14ac:dyDescent="0.15">
      <c r="B72" s="7" t="s">
        <v>24</v>
      </c>
      <c r="C72" s="2"/>
      <c r="D72" s="7">
        <v>0.67</v>
      </c>
      <c r="E72" s="7">
        <v>0.78500000000000003</v>
      </c>
      <c r="F72" s="3">
        <v>0.79100000000000004</v>
      </c>
      <c r="G72" s="7">
        <v>0.67</v>
      </c>
      <c r="H72" s="7">
        <v>0.88700000000000001</v>
      </c>
      <c r="I72" s="7">
        <v>0.91300000000000003</v>
      </c>
      <c r="K72" s="2"/>
    </row>
    <row r="73" spans="1:11" ht="13" x14ac:dyDescent="0.15">
      <c r="B73" s="7" t="s">
        <v>23</v>
      </c>
      <c r="C73" s="2"/>
      <c r="D73" s="7">
        <v>0.64700000000000002</v>
      </c>
      <c r="E73" s="7">
        <v>0.749</v>
      </c>
      <c r="F73" s="3">
        <v>0.752</v>
      </c>
      <c r="G73" s="7">
        <v>0.64700000000000002</v>
      </c>
      <c r="H73" s="7">
        <v>0.88700000000000001</v>
      </c>
      <c r="I73" s="7">
        <v>0.92700000000000005</v>
      </c>
      <c r="K73" s="2"/>
    </row>
    <row r="74" spans="1:11" ht="13" x14ac:dyDescent="0.15">
      <c r="A74" s="1" t="s">
        <v>27</v>
      </c>
      <c r="C74" s="2"/>
      <c r="F74" s="3"/>
      <c r="K74" s="2"/>
    </row>
    <row r="75" spans="1:11" ht="13" x14ac:dyDescent="0.15">
      <c r="B75" s="7" t="s">
        <v>24</v>
      </c>
      <c r="C75" s="2"/>
      <c r="D75" s="7">
        <v>0.67</v>
      </c>
      <c r="E75" s="7">
        <v>0.78500000000000003</v>
      </c>
      <c r="F75" s="3">
        <v>0.79100000000000004</v>
      </c>
      <c r="G75" s="7">
        <v>0.67</v>
      </c>
      <c r="H75" s="7">
        <v>0.88700000000000001</v>
      </c>
      <c r="I75" s="7">
        <v>0.91300000000000003</v>
      </c>
      <c r="K75" s="2"/>
    </row>
    <row r="76" spans="1:11" ht="13" x14ac:dyDescent="0.15">
      <c r="B76" s="7" t="s">
        <v>23</v>
      </c>
      <c r="C76" s="2"/>
      <c r="D76" s="7">
        <v>0.64700000000000002</v>
      </c>
      <c r="E76" s="7">
        <v>0.74399999999999999</v>
      </c>
      <c r="F76" s="3">
        <v>0.752</v>
      </c>
      <c r="G76" s="7">
        <v>0.64700000000000002</v>
      </c>
      <c r="H76" s="7">
        <v>0.88700000000000001</v>
      </c>
      <c r="I76" s="7">
        <v>0.92700000000000005</v>
      </c>
      <c r="K76" s="2"/>
    </row>
    <row r="77" spans="1:11" ht="13" x14ac:dyDescent="0.15">
      <c r="A77" s="1" t="s">
        <v>35</v>
      </c>
      <c r="C77" s="2"/>
      <c r="D77" s="7">
        <f t="shared" ref="D77:I77" si="8">ROUND(AVERAGE(D69,D72,D75),3)</f>
        <v>0.67400000000000004</v>
      </c>
      <c r="E77" s="7">
        <f t="shared" si="8"/>
        <v>0.78400000000000003</v>
      </c>
      <c r="F77" s="3">
        <f t="shared" si="8"/>
        <v>0.79</v>
      </c>
      <c r="G77" s="7">
        <f t="shared" si="8"/>
        <v>0.67400000000000004</v>
      </c>
      <c r="H77" s="7">
        <f t="shared" si="8"/>
        <v>0.88800000000000001</v>
      </c>
      <c r="I77" s="7">
        <f t="shared" si="8"/>
        <v>0.91500000000000004</v>
      </c>
      <c r="K77" s="2"/>
    </row>
    <row r="78" spans="1:11" ht="13" x14ac:dyDescent="0.15">
      <c r="A78" s="1" t="s">
        <v>36</v>
      </c>
      <c r="B78" s="7"/>
      <c r="C78" s="2"/>
      <c r="D78" s="7">
        <f t="shared" ref="D78:I78" si="9">ROUND(AVERAGE(D70,D73,D76),3)</f>
        <v>0.64800000000000002</v>
      </c>
      <c r="E78" s="7">
        <f t="shared" si="9"/>
        <v>0.746</v>
      </c>
      <c r="F78" s="3">
        <f t="shared" si="9"/>
        <v>0.753</v>
      </c>
      <c r="G78" s="7">
        <f t="shared" si="9"/>
        <v>0.64800000000000002</v>
      </c>
      <c r="H78" s="7">
        <f t="shared" si="9"/>
        <v>0.88800000000000001</v>
      </c>
      <c r="I78" s="7">
        <f t="shared" si="9"/>
        <v>0.92800000000000005</v>
      </c>
      <c r="K78" s="2"/>
    </row>
    <row r="79" spans="1:11" ht="13" x14ac:dyDescent="0.15">
      <c r="B79" s="7"/>
      <c r="C79" s="2"/>
      <c r="F79" s="3"/>
      <c r="K79" s="2"/>
    </row>
    <row r="80" spans="1:11" ht="13" x14ac:dyDescent="0.15">
      <c r="A80" s="1" t="s">
        <v>30</v>
      </c>
      <c r="B80" s="7"/>
      <c r="C80" s="2"/>
      <c r="D80" s="7">
        <f t="shared" ref="D80:I80" si="10">_xlfn.STDEV.S(D76,D73,D70)</f>
        <v>1.7320508075688789E-3</v>
      </c>
      <c r="E80" s="7">
        <f t="shared" si="10"/>
        <v>2.5166114784235852E-3</v>
      </c>
      <c r="F80" s="7">
        <f t="shared" si="10"/>
        <v>2.3094010767585054E-3</v>
      </c>
      <c r="G80" s="7">
        <f t="shared" si="10"/>
        <v>1.7320508075688789E-3</v>
      </c>
      <c r="H80" s="7">
        <f t="shared" si="10"/>
        <v>1.7320508075688789E-3</v>
      </c>
      <c r="I80" s="7">
        <f t="shared" si="10"/>
        <v>1.7320508075688789E-3</v>
      </c>
      <c r="K80" s="2"/>
    </row>
    <row r="81" spans="1:11" ht="13" x14ac:dyDescent="0.15">
      <c r="A81" s="1" t="s">
        <v>31</v>
      </c>
      <c r="B81" s="7"/>
      <c r="C81" s="2"/>
      <c r="D81" s="7">
        <f t="shared" ref="D81:I81" si="11">_xlfn.STDEV.S(D75,D72,D69)</f>
        <v>7.5055534994651419E-3</v>
      </c>
      <c r="E81" s="7">
        <f t="shared" si="11"/>
        <v>1.7320508075688787E-3</v>
      </c>
      <c r="F81" s="7">
        <f t="shared" si="11"/>
        <v>1.1547005383792527E-3</v>
      </c>
      <c r="G81" s="7">
        <f t="shared" si="11"/>
        <v>7.5055534994651419E-3</v>
      </c>
      <c r="H81" s="7">
        <f t="shared" si="11"/>
        <v>1.7320508075688789E-3</v>
      </c>
      <c r="I81" s="7">
        <f t="shared" si="11"/>
        <v>4.0414518843273836E-3</v>
      </c>
      <c r="K81" s="2"/>
    </row>
    <row r="82" spans="1:11" ht="13" x14ac:dyDescent="0.15">
      <c r="A82" s="1"/>
      <c r="B82" s="7"/>
      <c r="C82" s="2"/>
      <c r="K82" s="2"/>
    </row>
    <row r="83" spans="1:11" ht="13" x14ac:dyDescent="0.15">
      <c r="A83" s="1" t="s">
        <v>32</v>
      </c>
      <c r="B83" s="7"/>
      <c r="C83" s="2"/>
      <c r="F83" s="3"/>
      <c r="K83" s="2"/>
    </row>
    <row r="84" spans="1:11" ht="14" x14ac:dyDescent="0.15">
      <c r="A84" s="9" t="s">
        <v>33</v>
      </c>
      <c r="B84" s="7" t="s">
        <v>24</v>
      </c>
      <c r="C84" s="2" t="s">
        <v>34</v>
      </c>
      <c r="D84" s="7">
        <v>18.489999999999998</v>
      </c>
      <c r="E84" s="7">
        <v>35.94</v>
      </c>
      <c r="F84" s="3">
        <v>31.37</v>
      </c>
      <c r="K84" s="2"/>
    </row>
    <row r="85" spans="1:11" ht="14" x14ac:dyDescent="0.15">
      <c r="B85" s="7" t="s">
        <v>23</v>
      </c>
      <c r="C85" s="2" t="s">
        <v>34</v>
      </c>
      <c r="D85" s="7">
        <v>53.16</v>
      </c>
      <c r="E85" s="7">
        <v>68.98</v>
      </c>
      <c r="F85" s="3">
        <v>75.64</v>
      </c>
      <c r="K85" s="2"/>
    </row>
    <row r="86" spans="1:11" ht="13" x14ac:dyDescent="0.15">
      <c r="B86" s="7"/>
      <c r="C86" s="2"/>
      <c r="F86" s="3"/>
      <c r="K86" s="2"/>
    </row>
    <row r="87" spans="1:11" ht="126" x14ac:dyDescent="0.15">
      <c r="C87" s="25" t="s">
        <v>77</v>
      </c>
      <c r="F87" s="3"/>
      <c r="K87" s="2"/>
    </row>
    <row r="88" spans="1:11" ht="13" x14ac:dyDescent="0.15">
      <c r="A88" s="1" t="s">
        <v>25</v>
      </c>
      <c r="B88" s="7"/>
      <c r="C88" s="2"/>
      <c r="D88" s="7"/>
      <c r="E88" s="7"/>
      <c r="F88" s="3"/>
      <c r="G88" s="7"/>
      <c r="H88" s="7"/>
      <c r="I88" s="7"/>
      <c r="K88" s="2"/>
    </row>
    <row r="89" spans="1:11" ht="13" x14ac:dyDescent="0.15">
      <c r="A89" s="7"/>
      <c r="B89" s="7" t="s">
        <v>24</v>
      </c>
      <c r="C89" s="2"/>
      <c r="D89" s="7">
        <v>0.72699999999999998</v>
      </c>
      <c r="E89" s="7">
        <v>0.77900000000000003</v>
      </c>
      <c r="F89" s="3">
        <v>0.78300000000000003</v>
      </c>
      <c r="G89" s="7">
        <v>0.72699999999999998</v>
      </c>
      <c r="H89" s="7">
        <v>0.88700000000000001</v>
      </c>
      <c r="I89" s="7">
        <v>0.91</v>
      </c>
      <c r="K89" s="2"/>
    </row>
    <row r="90" spans="1:11" ht="13" x14ac:dyDescent="0.15">
      <c r="A90" s="7"/>
      <c r="B90" s="7" t="s">
        <v>23</v>
      </c>
      <c r="C90" s="2"/>
      <c r="D90" s="7">
        <v>0.65700000000000003</v>
      </c>
      <c r="E90" s="7">
        <v>0.75800000000000001</v>
      </c>
      <c r="F90" s="3">
        <v>0.76100000000000001</v>
      </c>
      <c r="G90" s="7">
        <v>0.65700000000000003</v>
      </c>
      <c r="H90" s="7">
        <v>0.89</v>
      </c>
      <c r="I90" s="7">
        <v>0.92700000000000005</v>
      </c>
      <c r="K90" s="2"/>
    </row>
    <row r="91" spans="1:11" ht="13" x14ac:dyDescent="0.15">
      <c r="A91" s="1" t="s">
        <v>26</v>
      </c>
      <c r="C91" s="2"/>
      <c r="F91" s="3"/>
      <c r="K91" s="2"/>
    </row>
    <row r="92" spans="1:11" ht="13" x14ac:dyDescent="0.15">
      <c r="B92" s="7" t="s">
        <v>24</v>
      </c>
      <c r="C92" s="2"/>
      <c r="D92" s="7">
        <v>0.72699999999999998</v>
      </c>
      <c r="E92" s="7">
        <v>0.77900000000000003</v>
      </c>
      <c r="F92" s="3">
        <v>0.78300000000000003</v>
      </c>
      <c r="G92" s="7">
        <v>0.72699999999999998</v>
      </c>
      <c r="H92" s="7">
        <v>0.88700000000000001</v>
      </c>
      <c r="I92" s="7">
        <v>0.91</v>
      </c>
      <c r="K92" s="2"/>
    </row>
    <row r="93" spans="1:11" ht="13" x14ac:dyDescent="0.15">
      <c r="B93" s="7" t="s">
        <v>23</v>
      </c>
      <c r="C93" s="2"/>
      <c r="D93" s="7">
        <v>0.65700000000000003</v>
      </c>
      <c r="E93" s="7">
        <v>0.75800000000000001</v>
      </c>
      <c r="F93" s="3">
        <v>0.76100000000000001</v>
      </c>
      <c r="G93" s="7">
        <v>0.65700000000000003</v>
      </c>
      <c r="H93" s="7">
        <v>0.89</v>
      </c>
      <c r="I93" s="7">
        <v>0.92700000000000005</v>
      </c>
      <c r="K93" s="2"/>
    </row>
    <row r="94" spans="1:11" ht="13" x14ac:dyDescent="0.15">
      <c r="A94" s="1" t="s">
        <v>27</v>
      </c>
      <c r="C94" s="2"/>
      <c r="F94" s="3"/>
      <c r="K94" s="2"/>
    </row>
    <row r="95" spans="1:11" ht="13" x14ac:dyDescent="0.15">
      <c r="B95" s="7" t="s">
        <v>24</v>
      </c>
      <c r="C95" s="2"/>
      <c r="D95" s="7">
        <v>0.72699999999999998</v>
      </c>
      <c r="E95" s="7">
        <v>0.77900000000000003</v>
      </c>
      <c r="F95" s="3">
        <v>0.78300000000000003</v>
      </c>
      <c r="G95" s="7">
        <v>0.72699999999999998</v>
      </c>
      <c r="H95" s="7">
        <v>0.88700000000000001</v>
      </c>
      <c r="I95" s="7">
        <v>0.91</v>
      </c>
      <c r="K95" s="2"/>
    </row>
    <row r="96" spans="1:11" ht="13" x14ac:dyDescent="0.15">
      <c r="B96" s="7" t="s">
        <v>23</v>
      </c>
      <c r="C96" s="2"/>
      <c r="D96" s="7">
        <v>0.65700000000000003</v>
      </c>
      <c r="E96" s="7">
        <v>0.75800000000000001</v>
      </c>
      <c r="F96" s="3">
        <v>0.76100000000000001</v>
      </c>
      <c r="G96" s="7">
        <v>0.65700000000000003</v>
      </c>
      <c r="H96" s="7">
        <v>0.89</v>
      </c>
      <c r="I96" s="7">
        <v>0.92700000000000005</v>
      </c>
      <c r="K96" s="2"/>
    </row>
    <row r="97" spans="1:11" ht="13" x14ac:dyDescent="0.15">
      <c r="A97" s="1" t="s">
        <v>35</v>
      </c>
      <c r="C97" s="2"/>
      <c r="D97" s="7">
        <f t="shared" ref="D97:I97" si="12">ROUND(AVERAGE(D89,D92,D95),3)</f>
        <v>0.72699999999999998</v>
      </c>
      <c r="E97" s="7">
        <f t="shared" si="12"/>
        <v>0.77900000000000003</v>
      </c>
      <c r="F97" s="3">
        <f t="shared" si="12"/>
        <v>0.78300000000000003</v>
      </c>
      <c r="G97" s="7">
        <f t="shared" si="12"/>
        <v>0.72699999999999998</v>
      </c>
      <c r="H97" s="7">
        <f t="shared" si="12"/>
        <v>0.88700000000000001</v>
      </c>
      <c r="I97" s="7">
        <f t="shared" si="12"/>
        <v>0.91</v>
      </c>
      <c r="K97" s="2"/>
    </row>
    <row r="98" spans="1:11" ht="13" x14ac:dyDescent="0.15">
      <c r="A98" s="1" t="s">
        <v>36</v>
      </c>
      <c r="B98" s="7"/>
      <c r="C98" s="2"/>
      <c r="D98" s="7">
        <f t="shared" ref="D98:I98" si="13">ROUND(AVERAGE(D90,D93,D96),3)</f>
        <v>0.65700000000000003</v>
      </c>
      <c r="E98" s="7">
        <f t="shared" si="13"/>
        <v>0.75800000000000001</v>
      </c>
      <c r="F98" s="3">
        <f t="shared" si="13"/>
        <v>0.76100000000000001</v>
      </c>
      <c r="G98" s="7">
        <f t="shared" si="13"/>
        <v>0.65700000000000003</v>
      </c>
      <c r="H98" s="7">
        <f t="shared" si="13"/>
        <v>0.89</v>
      </c>
      <c r="I98" s="7">
        <f t="shared" si="13"/>
        <v>0.92700000000000005</v>
      </c>
      <c r="K98" s="2"/>
    </row>
    <row r="99" spans="1:11" ht="13" x14ac:dyDescent="0.15">
      <c r="B99" s="7"/>
      <c r="C99" s="2"/>
      <c r="F99" s="3"/>
      <c r="K99" s="2"/>
    </row>
    <row r="100" spans="1:11" ht="13" x14ac:dyDescent="0.15">
      <c r="A100" s="1" t="s">
        <v>30</v>
      </c>
      <c r="B100" s="7"/>
      <c r="C100" s="2"/>
      <c r="D100" s="7">
        <f t="shared" ref="D100:I100" si="14">_xlfn.STDEV.S(D96,D93,D90)</f>
        <v>0</v>
      </c>
      <c r="E100" s="7">
        <f t="shared" si="14"/>
        <v>0</v>
      </c>
      <c r="F100" s="7">
        <f t="shared" si="14"/>
        <v>0</v>
      </c>
      <c r="G100" s="7">
        <f t="shared" si="14"/>
        <v>0</v>
      </c>
      <c r="H100" s="7">
        <f t="shared" si="14"/>
        <v>0</v>
      </c>
      <c r="I100" s="7">
        <f t="shared" si="14"/>
        <v>0</v>
      </c>
      <c r="K100" s="2"/>
    </row>
    <row r="101" spans="1:11" ht="13" x14ac:dyDescent="0.15">
      <c r="A101" s="1" t="s">
        <v>31</v>
      </c>
      <c r="B101" s="7"/>
      <c r="C101" s="2"/>
      <c r="D101" s="7">
        <f t="shared" ref="D101:I101" si="15">_xlfn.STDEV.S(D95,D92,D89)</f>
        <v>0</v>
      </c>
      <c r="E101" s="7">
        <f t="shared" si="15"/>
        <v>0</v>
      </c>
      <c r="F101" s="7">
        <f t="shared" si="15"/>
        <v>0</v>
      </c>
      <c r="G101" s="7">
        <f t="shared" si="15"/>
        <v>0</v>
      </c>
      <c r="H101" s="7">
        <f t="shared" si="15"/>
        <v>0</v>
      </c>
      <c r="I101" s="7">
        <f t="shared" si="15"/>
        <v>0</v>
      </c>
      <c r="K101" s="2"/>
    </row>
    <row r="102" spans="1:11" ht="13" x14ac:dyDescent="0.15">
      <c r="A102" s="1" t="s">
        <v>32</v>
      </c>
      <c r="K102" s="2"/>
    </row>
    <row r="103" spans="1:11" ht="13" x14ac:dyDescent="0.15">
      <c r="A103" s="9" t="s">
        <v>37</v>
      </c>
      <c r="B103" s="7"/>
      <c r="C103" s="2"/>
      <c r="F103" s="3"/>
      <c r="K103" s="2"/>
    </row>
    <row r="104" spans="1:11" ht="13" x14ac:dyDescent="0.15">
      <c r="B104" s="7" t="s">
        <v>24</v>
      </c>
      <c r="C104" s="2"/>
      <c r="D104" s="7">
        <v>23.64</v>
      </c>
      <c r="E104" s="7">
        <v>36.520000000000003</v>
      </c>
      <c r="F104" s="3">
        <v>39.43</v>
      </c>
      <c r="K104" s="2"/>
    </row>
    <row r="105" spans="1:11" ht="13" x14ac:dyDescent="0.15">
      <c r="B105" s="7" t="s">
        <v>23</v>
      </c>
      <c r="C105" s="2"/>
      <c r="D105" s="7">
        <v>52.97</v>
      </c>
      <c r="E105" s="7">
        <v>66.2</v>
      </c>
      <c r="F105" s="3">
        <v>72.209999999999994</v>
      </c>
      <c r="K105" s="2"/>
    </row>
    <row r="106" spans="1:11" ht="13" x14ac:dyDescent="0.15">
      <c r="F106" s="3"/>
      <c r="K106" s="2"/>
    </row>
    <row r="107" spans="1:11" ht="13" x14ac:dyDescent="0.15">
      <c r="F107" s="3"/>
      <c r="K107" s="2"/>
    </row>
    <row r="108" spans="1:11" ht="13" x14ac:dyDescent="0.15">
      <c r="F108" s="3"/>
      <c r="K108" s="2"/>
    </row>
    <row r="109" spans="1:11" ht="13" x14ac:dyDescent="0.15">
      <c r="C109" s="2"/>
      <c r="F109" s="3"/>
      <c r="K109" s="2"/>
    </row>
    <row r="110" spans="1:11" ht="13" x14ac:dyDescent="0.15">
      <c r="C110" s="2"/>
      <c r="F110" s="3"/>
      <c r="K110" s="2"/>
    </row>
    <row r="111" spans="1:11" ht="13" x14ac:dyDescent="0.15">
      <c r="C111" s="2"/>
      <c r="F111" s="3"/>
      <c r="K111" s="2"/>
    </row>
    <row r="112" spans="1:11" ht="13" x14ac:dyDescent="0.15">
      <c r="C112" s="2"/>
      <c r="F112" s="3"/>
      <c r="K112" s="2"/>
    </row>
    <row r="113" spans="3:11" ht="13" x14ac:dyDescent="0.15">
      <c r="C113" s="2"/>
      <c r="F113" s="3"/>
      <c r="K113" s="2"/>
    </row>
    <row r="114" spans="3:11" ht="13" x14ac:dyDescent="0.15">
      <c r="C114" s="2"/>
      <c r="F114" s="3"/>
      <c r="K114" s="2"/>
    </row>
    <row r="115" spans="3:11" ht="13" x14ac:dyDescent="0.15">
      <c r="C115" s="2"/>
      <c r="F115" s="3"/>
      <c r="K115" s="2"/>
    </row>
    <row r="116" spans="3:11" ht="13" x14ac:dyDescent="0.15">
      <c r="C116" s="2"/>
      <c r="F116" s="3"/>
      <c r="K116" s="2"/>
    </row>
    <row r="117" spans="3:11" ht="13" x14ac:dyDescent="0.15">
      <c r="C117" s="2"/>
      <c r="F117" s="3"/>
      <c r="K117" s="2"/>
    </row>
    <row r="118" spans="3:11" ht="13" x14ac:dyDescent="0.15">
      <c r="C118" s="2"/>
      <c r="F118" s="3"/>
      <c r="K118" s="2"/>
    </row>
    <row r="119" spans="3:11" ht="13" x14ac:dyDescent="0.15">
      <c r="C119" s="2"/>
      <c r="F119" s="3"/>
      <c r="K119" s="2"/>
    </row>
    <row r="120" spans="3:11" ht="13" x14ac:dyDescent="0.15">
      <c r="C120" s="2"/>
      <c r="F120" s="3"/>
      <c r="K120" s="2"/>
    </row>
    <row r="121" spans="3:11" ht="13" x14ac:dyDescent="0.15">
      <c r="C121" s="2"/>
      <c r="F121" s="3"/>
      <c r="K121" s="2"/>
    </row>
    <row r="122" spans="3:11" ht="13" x14ac:dyDescent="0.15">
      <c r="C122" s="2"/>
      <c r="F122" s="3"/>
      <c r="K122" s="2"/>
    </row>
    <row r="123" spans="3:11" ht="13" x14ac:dyDescent="0.15">
      <c r="C123" s="2"/>
      <c r="F123" s="3"/>
      <c r="K123" s="2"/>
    </row>
    <row r="124" spans="3:11" ht="13" x14ac:dyDescent="0.15">
      <c r="C124" s="2"/>
      <c r="F124" s="3"/>
      <c r="K124" s="2"/>
    </row>
    <row r="125" spans="3:11" ht="13" x14ac:dyDescent="0.15">
      <c r="C125" s="2"/>
      <c r="F125" s="3"/>
      <c r="K125" s="2"/>
    </row>
    <row r="126" spans="3:11" ht="13" x14ac:dyDescent="0.15">
      <c r="C126" s="2"/>
      <c r="F126" s="3"/>
      <c r="K126" s="2"/>
    </row>
    <row r="127" spans="3:11" ht="13" x14ac:dyDescent="0.15">
      <c r="C127" s="2"/>
      <c r="F127" s="3"/>
      <c r="K127" s="2"/>
    </row>
    <row r="128" spans="3:11" ht="13" x14ac:dyDescent="0.15">
      <c r="C128" s="2"/>
      <c r="F128" s="3"/>
      <c r="K128" s="2"/>
    </row>
    <row r="129" spans="3:11" ht="13" x14ac:dyDescent="0.15">
      <c r="C129" s="2"/>
      <c r="F129" s="3"/>
      <c r="K129" s="2"/>
    </row>
    <row r="130" spans="3:11" ht="13" x14ac:dyDescent="0.15">
      <c r="C130" s="2"/>
      <c r="F130" s="3"/>
      <c r="K130" s="2"/>
    </row>
    <row r="131" spans="3:11" ht="13" x14ac:dyDescent="0.15">
      <c r="C131" s="2"/>
      <c r="F131" s="3"/>
      <c r="K131" s="2"/>
    </row>
    <row r="132" spans="3:11" ht="13" x14ac:dyDescent="0.15">
      <c r="C132" s="2"/>
      <c r="F132" s="3"/>
      <c r="K132" s="2"/>
    </row>
    <row r="133" spans="3:11" ht="13" x14ac:dyDescent="0.15">
      <c r="C133" s="2"/>
      <c r="F133" s="3"/>
      <c r="K133" s="2"/>
    </row>
    <row r="134" spans="3:11" ht="13" x14ac:dyDescent="0.15">
      <c r="C134" s="2"/>
      <c r="F134" s="3"/>
      <c r="K134" s="2"/>
    </row>
    <row r="135" spans="3:11" ht="13" x14ac:dyDescent="0.15">
      <c r="C135" s="2"/>
      <c r="F135" s="3"/>
      <c r="K135" s="2"/>
    </row>
    <row r="136" spans="3:11" ht="13" x14ac:dyDescent="0.15">
      <c r="C136" s="2"/>
      <c r="F136" s="3"/>
      <c r="K136" s="2"/>
    </row>
    <row r="137" spans="3:11" ht="13" x14ac:dyDescent="0.15">
      <c r="C137" s="2"/>
      <c r="F137" s="3"/>
      <c r="K137" s="2"/>
    </row>
    <row r="138" spans="3:11" ht="13" x14ac:dyDescent="0.15">
      <c r="C138" s="2"/>
      <c r="F138" s="3"/>
      <c r="K138" s="2"/>
    </row>
    <row r="139" spans="3:11" ht="13" x14ac:dyDescent="0.15">
      <c r="C139" s="2"/>
      <c r="F139" s="3"/>
      <c r="K139" s="2"/>
    </row>
    <row r="140" spans="3:11" ht="13" x14ac:dyDescent="0.15">
      <c r="C140" s="2"/>
      <c r="F140" s="3"/>
      <c r="K140" s="2"/>
    </row>
    <row r="141" spans="3:11" ht="13" x14ac:dyDescent="0.15">
      <c r="C141" s="2"/>
      <c r="F141" s="3"/>
      <c r="K141" s="2"/>
    </row>
    <row r="142" spans="3:11" ht="13" x14ac:dyDescent="0.15">
      <c r="C142" s="2"/>
      <c r="F142" s="3"/>
      <c r="K142" s="2"/>
    </row>
    <row r="143" spans="3:11" ht="13" x14ac:dyDescent="0.15">
      <c r="C143" s="2"/>
      <c r="F143" s="3"/>
      <c r="K143" s="2"/>
    </row>
    <row r="144" spans="3:11" ht="13" x14ac:dyDescent="0.15">
      <c r="C144" s="2"/>
      <c r="F144" s="3"/>
      <c r="K144" s="2"/>
    </row>
    <row r="145" spans="3:11" ht="13" x14ac:dyDescent="0.15">
      <c r="C145" s="2"/>
      <c r="F145" s="3"/>
      <c r="K145" s="2"/>
    </row>
    <row r="146" spans="3:11" ht="13" x14ac:dyDescent="0.15">
      <c r="C146" s="2"/>
      <c r="F146" s="3"/>
      <c r="K146" s="2"/>
    </row>
    <row r="147" spans="3:11" ht="13" x14ac:dyDescent="0.15">
      <c r="C147" s="2"/>
      <c r="F147" s="3"/>
      <c r="K147" s="2"/>
    </row>
    <row r="148" spans="3:11" ht="13" x14ac:dyDescent="0.15">
      <c r="C148" s="2"/>
      <c r="F148" s="3"/>
      <c r="K148" s="2"/>
    </row>
    <row r="149" spans="3:11" ht="13" x14ac:dyDescent="0.15">
      <c r="C149" s="2"/>
      <c r="F149" s="3"/>
      <c r="K149" s="2"/>
    </row>
    <row r="150" spans="3:11" ht="13" x14ac:dyDescent="0.15">
      <c r="C150" s="2"/>
      <c r="F150" s="3"/>
      <c r="K150" s="2"/>
    </row>
    <row r="151" spans="3:11" ht="13" x14ac:dyDescent="0.15">
      <c r="C151" s="2"/>
      <c r="F151" s="3"/>
      <c r="K151" s="2"/>
    </row>
    <row r="152" spans="3:11" ht="13" x14ac:dyDescent="0.15">
      <c r="C152" s="2"/>
      <c r="F152" s="3"/>
      <c r="K152" s="2"/>
    </row>
    <row r="153" spans="3:11" ht="13" x14ac:dyDescent="0.15">
      <c r="C153" s="2"/>
      <c r="F153" s="3"/>
      <c r="K153" s="2"/>
    </row>
    <row r="154" spans="3:11" ht="13" x14ac:dyDescent="0.15">
      <c r="C154" s="2"/>
      <c r="F154" s="3"/>
      <c r="K154" s="2"/>
    </row>
    <row r="155" spans="3:11" ht="13" x14ac:dyDescent="0.15">
      <c r="C155" s="2"/>
      <c r="F155" s="3"/>
      <c r="K155" s="2"/>
    </row>
    <row r="156" spans="3:11" ht="13" x14ac:dyDescent="0.15">
      <c r="C156" s="2"/>
      <c r="F156" s="3"/>
      <c r="K156" s="2"/>
    </row>
    <row r="157" spans="3:11" ht="13" x14ac:dyDescent="0.15">
      <c r="C157" s="2"/>
      <c r="F157" s="3"/>
      <c r="K157" s="2"/>
    </row>
    <row r="158" spans="3:11" ht="13" x14ac:dyDescent="0.15">
      <c r="C158" s="2"/>
      <c r="F158" s="3"/>
      <c r="K158" s="2"/>
    </row>
    <row r="159" spans="3:11" ht="13" x14ac:dyDescent="0.15">
      <c r="C159" s="2"/>
      <c r="F159" s="3"/>
      <c r="K159" s="2"/>
    </row>
    <row r="160" spans="3:11" ht="13" x14ac:dyDescent="0.15">
      <c r="C160" s="2"/>
      <c r="F160" s="3"/>
      <c r="K160" s="2"/>
    </row>
    <row r="161" spans="3:11" ht="13" x14ac:dyDescent="0.15">
      <c r="C161" s="2"/>
      <c r="F161" s="3"/>
      <c r="K161" s="2"/>
    </row>
    <row r="162" spans="3:11" ht="13" x14ac:dyDescent="0.15">
      <c r="C162" s="2"/>
      <c r="F162" s="3"/>
      <c r="K162" s="2"/>
    </row>
    <row r="163" spans="3:11" ht="13" x14ac:dyDescent="0.15">
      <c r="C163" s="2"/>
      <c r="F163" s="3"/>
      <c r="K163" s="2"/>
    </row>
    <row r="164" spans="3:11" ht="13" x14ac:dyDescent="0.15">
      <c r="C164" s="2"/>
      <c r="F164" s="3"/>
      <c r="K164" s="2"/>
    </row>
    <row r="165" spans="3:11" ht="13" x14ac:dyDescent="0.15">
      <c r="C165" s="2"/>
      <c r="F165" s="3"/>
      <c r="K165" s="2"/>
    </row>
    <row r="166" spans="3:11" ht="13" x14ac:dyDescent="0.15">
      <c r="C166" s="2"/>
      <c r="F166" s="3"/>
      <c r="K166" s="2"/>
    </row>
    <row r="167" spans="3:11" ht="13" x14ac:dyDescent="0.15">
      <c r="C167" s="2"/>
      <c r="F167" s="3"/>
      <c r="K167" s="2"/>
    </row>
    <row r="168" spans="3:11" ht="13" x14ac:dyDescent="0.15">
      <c r="C168" s="2"/>
      <c r="F168" s="3"/>
      <c r="K168" s="2"/>
    </row>
    <row r="169" spans="3:11" ht="13" x14ac:dyDescent="0.15">
      <c r="C169" s="2"/>
      <c r="F169" s="3"/>
      <c r="K169" s="2"/>
    </row>
    <row r="170" spans="3:11" ht="13" x14ac:dyDescent="0.15">
      <c r="C170" s="2"/>
      <c r="F170" s="3"/>
      <c r="K170" s="2"/>
    </row>
    <row r="171" spans="3:11" ht="13" x14ac:dyDescent="0.15">
      <c r="C171" s="2"/>
      <c r="F171" s="3"/>
      <c r="K171" s="2"/>
    </row>
    <row r="172" spans="3:11" ht="13" x14ac:dyDescent="0.15">
      <c r="C172" s="2"/>
      <c r="F172" s="3"/>
      <c r="K172" s="2"/>
    </row>
    <row r="173" spans="3:11" ht="13" x14ac:dyDescent="0.15">
      <c r="C173" s="2"/>
      <c r="F173" s="3"/>
      <c r="K173" s="2"/>
    </row>
    <row r="174" spans="3:11" ht="13" x14ac:dyDescent="0.15">
      <c r="C174" s="2"/>
      <c r="F174" s="3"/>
      <c r="K174" s="2"/>
    </row>
    <row r="175" spans="3:11" ht="13" x14ac:dyDescent="0.15">
      <c r="C175" s="2"/>
      <c r="F175" s="3"/>
      <c r="K175" s="2"/>
    </row>
    <row r="176" spans="3:11" ht="13" x14ac:dyDescent="0.15">
      <c r="C176" s="2"/>
      <c r="F176" s="3"/>
      <c r="K176" s="2"/>
    </row>
    <row r="177" spans="3:11" ht="13" x14ac:dyDescent="0.15">
      <c r="C177" s="2"/>
      <c r="F177" s="3"/>
      <c r="K177" s="2"/>
    </row>
    <row r="178" spans="3:11" ht="13" x14ac:dyDescent="0.15">
      <c r="C178" s="2"/>
      <c r="F178" s="3"/>
      <c r="K178" s="2"/>
    </row>
    <row r="179" spans="3:11" ht="13" x14ac:dyDescent="0.15">
      <c r="C179" s="2"/>
      <c r="F179" s="3"/>
      <c r="K179" s="2"/>
    </row>
    <row r="180" spans="3:11" ht="13" x14ac:dyDescent="0.15">
      <c r="C180" s="2"/>
      <c r="F180" s="3"/>
      <c r="K180" s="2"/>
    </row>
    <row r="181" spans="3:11" ht="13" x14ac:dyDescent="0.15">
      <c r="C181" s="2"/>
      <c r="F181" s="3"/>
      <c r="K181" s="2"/>
    </row>
    <row r="182" spans="3:11" ht="13" x14ac:dyDescent="0.15">
      <c r="C182" s="2"/>
      <c r="F182" s="3"/>
      <c r="K182" s="2"/>
    </row>
    <row r="183" spans="3:11" ht="13" x14ac:dyDescent="0.15">
      <c r="C183" s="2"/>
      <c r="F183" s="3"/>
      <c r="K183" s="2"/>
    </row>
    <row r="184" spans="3:11" ht="13" x14ac:dyDescent="0.15">
      <c r="C184" s="2"/>
      <c r="F184" s="3"/>
      <c r="K184" s="2"/>
    </row>
    <row r="185" spans="3:11" ht="13" x14ac:dyDescent="0.15">
      <c r="C185" s="2"/>
      <c r="F185" s="3"/>
      <c r="K185" s="2"/>
    </row>
    <row r="186" spans="3:11" ht="13" x14ac:dyDescent="0.15">
      <c r="C186" s="2"/>
      <c r="F186" s="3"/>
      <c r="K186" s="2"/>
    </row>
    <row r="187" spans="3:11" ht="13" x14ac:dyDescent="0.15">
      <c r="C187" s="2"/>
      <c r="F187" s="3"/>
      <c r="K187" s="2"/>
    </row>
    <row r="188" spans="3:11" ht="13" x14ac:dyDescent="0.15">
      <c r="C188" s="2"/>
      <c r="F188" s="3"/>
      <c r="K188" s="2"/>
    </row>
    <row r="189" spans="3:11" ht="13" x14ac:dyDescent="0.15">
      <c r="C189" s="2"/>
      <c r="F189" s="3"/>
      <c r="K189" s="2"/>
    </row>
    <row r="190" spans="3:11" ht="13" x14ac:dyDescent="0.15">
      <c r="C190" s="2"/>
      <c r="F190" s="3"/>
      <c r="K190" s="2"/>
    </row>
    <row r="191" spans="3:11" ht="13" x14ac:dyDescent="0.15">
      <c r="C191" s="2"/>
      <c r="F191" s="3"/>
      <c r="K191" s="2"/>
    </row>
    <row r="192" spans="3:11" ht="13" x14ac:dyDescent="0.15">
      <c r="C192" s="2"/>
      <c r="F192" s="3"/>
      <c r="K192" s="2"/>
    </row>
    <row r="193" spans="3:11" ht="13" x14ac:dyDescent="0.15">
      <c r="C193" s="2"/>
      <c r="F193" s="3"/>
      <c r="K193" s="2"/>
    </row>
    <row r="194" spans="3:11" ht="13" x14ac:dyDescent="0.15">
      <c r="C194" s="2"/>
      <c r="F194" s="3"/>
      <c r="K194" s="2"/>
    </row>
    <row r="195" spans="3:11" ht="13" x14ac:dyDescent="0.15">
      <c r="C195" s="2"/>
      <c r="F195" s="3"/>
      <c r="K195" s="2"/>
    </row>
    <row r="196" spans="3:11" ht="13" x14ac:dyDescent="0.15">
      <c r="C196" s="2"/>
      <c r="F196" s="3"/>
      <c r="K196" s="2"/>
    </row>
    <row r="197" spans="3:11" ht="13" x14ac:dyDescent="0.15">
      <c r="C197" s="2"/>
      <c r="F197" s="3"/>
      <c r="K197" s="2"/>
    </row>
    <row r="198" spans="3:11" ht="13" x14ac:dyDescent="0.15">
      <c r="C198" s="2"/>
      <c r="F198" s="3"/>
      <c r="K198" s="2"/>
    </row>
    <row r="199" spans="3:11" ht="13" x14ac:dyDescent="0.15">
      <c r="C199" s="2"/>
      <c r="F199" s="3"/>
      <c r="K199" s="2"/>
    </row>
    <row r="200" spans="3:11" ht="13" x14ac:dyDescent="0.15">
      <c r="C200" s="2"/>
      <c r="F200" s="3"/>
      <c r="K200" s="2"/>
    </row>
    <row r="201" spans="3:11" ht="13" x14ac:dyDescent="0.15">
      <c r="C201" s="2"/>
      <c r="F201" s="3"/>
      <c r="K201" s="2"/>
    </row>
    <row r="202" spans="3:11" ht="13" x14ac:dyDescent="0.15">
      <c r="C202" s="2"/>
      <c r="F202" s="3"/>
      <c r="K202" s="2"/>
    </row>
    <row r="203" spans="3:11" ht="13" x14ac:dyDescent="0.15">
      <c r="C203" s="2"/>
      <c r="F203" s="3"/>
      <c r="K203" s="2"/>
    </row>
    <row r="204" spans="3:11" ht="13" x14ac:dyDescent="0.15">
      <c r="C204" s="2"/>
      <c r="F204" s="3"/>
      <c r="K204" s="2"/>
    </row>
    <row r="205" spans="3:11" ht="13" x14ac:dyDescent="0.15">
      <c r="C205" s="2"/>
      <c r="F205" s="3"/>
      <c r="K205" s="2"/>
    </row>
    <row r="206" spans="3:11" ht="13" x14ac:dyDescent="0.15">
      <c r="C206" s="2"/>
      <c r="F206" s="3"/>
      <c r="K206" s="2"/>
    </row>
    <row r="207" spans="3:11" ht="13" x14ac:dyDescent="0.15">
      <c r="C207" s="2"/>
      <c r="F207" s="3"/>
      <c r="K207" s="2"/>
    </row>
    <row r="208" spans="3:11" ht="13" x14ac:dyDescent="0.15">
      <c r="C208" s="2"/>
      <c r="F208" s="3"/>
      <c r="K208" s="2"/>
    </row>
    <row r="209" spans="3:11" ht="13" x14ac:dyDescent="0.15">
      <c r="C209" s="2"/>
      <c r="F209" s="3"/>
      <c r="K209" s="2"/>
    </row>
    <row r="210" spans="3:11" ht="13" x14ac:dyDescent="0.15">
      <c r="C210" s="2"/>
      <c r="F210" s="3"/>
      <c r="K210" s="2"/>
    </row>
    <row r="211" spans="3:11" ht="13" x14ac:dyDescent="0.15">
      <c r="C211" s="2"/>
      <c r="F211" s="3"/>
      <c r="K211" s="2"/>
    </row>
    <row r="212" spans="3:11" ht="13" x14ac:dyDescent="0.15">
      <c r="C212" s="2"/>
      <c r="F212" s="3"/>
      <c r="K212" s="2"/>
    </row>
    <row r="213" spans="3:11" ht="13" x14ac:dyDescent="0.15">
      <c r="C213" s="2"/>
      <c r="F213" s="3"/>
      <c r="K213" s="2"/>
    </row>
    <row r="214" spans="3:11" ht="13" x14ac:dyDescent="0.15">
      <c r="C214" s="2"/>
      <c r="F214" s="3"/>
      <c r="K214" s="2"/>
    </row>
    <row r="215" spans="3:11" ht="13" x14ac:dyDescent="0.15">
      <c r="C215" s="2"/>
      <c r="F215" s="3"/>
      <c r="K215" s="2"/>
    </row>
    <row r="216" spans="3:11" ht="13" x14ac:dyDescent="0.15">
      <c r="C216" s="2"/>
      <c r="F216" s="3"/>
      <c r="K216" s="2"/>
    </row>
    <row r="217" spans="3:11" ht="13" x14ac:dyDescent="0.15">
      <c r="C217" s="2"/>
      <c r="F217" s="3"/>
      <c r="K217" s="2"/>
    </row>
    <row r="218" spans="3:11" ht="13" x14ac:dyDescent="0.15">
      <c r="C218" s="2"/>
      <c r="F218" s="3"/>
      <c r="K218" s="2"/>
    </row>
    <row r="219" spans="3:11" ht="13" x14ac:dyDescent="0.15">
      <c r="C219" s="2"/>
      <c r="F219" s="3"/>
      <c r="K219" s="2"/>
    </row>
    <row r="220" spans="3:11" ht="13" x14ac:dyDescent="0.15">
      <c r="C220" s="2"/>
      <c r="F220" s="3"/>
      <c r="K220" s="2"/>
    </row>
    <row r="221" spans="3:11" ht="13" x14ac:dyDescent="0.15">
      <c r="C221" s="2"/>
      <c r="F221" s="3"/>
      <c r="K221" s="2"/>
    </row>
    <row r="222" spans="3:11" ht="13" x14ac:dyDescent="0.15">
      <c r="C222" s="2"/>
      <c r="F222" s="3"/>
      <c r="K222" s="2"/>
    </row>
    <row r="223" spans="3:11" ht="13" x14ac:dyDescent="0.15">
      <c r="C223" s="2"/>
      <c r="F223" s="3"/>
      <c r="K223" s="2"/>
    </row>
    <row r="224" spans="3:11" ht="13" x14ac:dyDescent="0.15">
      <c r="C224" s="2"/>
      <c r="F224" s="3"/>
      <c r="K224" s="2"/>
    </row>
    <row r="225" spans="3:11" ht="13" x14ac:dyDescent="0.15">
      <c r="C225" s="2"/>
      <c r="F225" s="3"/>
      <c r="K225" s="2"/>
    </row>
    <row r="226" spans="3:11" ht="13" x14ac:dyDescent="0.15">
      <c r="C226" s="2"/>
      <c r="F226" s="3"/>
      <c r="K226" s="2"/>
    </row>
    <row r="227" spans="3:11" ht="13" x14ac:dyDescent="0.15">
      <c r="C227" s="2"/>
      <c r="F227" s="3"/>
      <c r="K227" s="2"/>
    </row>
    <row r="228" spans="3:11" ht="13" x14ac:dyDescent="0.15">
      <c r="C228" s="2"/>
      <c r="F228" s="3"/>
      <c r="K228" s="2"/>
    </row>
    <row r="229" spans="3:11" ht="13" x14ac:dyDescent="0.15">
      <c r="C229" s="2"/>
      <c r="F229" s="3"/>
      <c r="K229" s="2"/>
    </row>
    <row r="230" spans="3:11" ht="13" x14ac:dyDescent="0.15">
      <c r="C230" s="2"/>
      <c r="F230" s="3"/>
      <c r="K230" s="2"/>
    </row>
    <row r="231" spans="3:11" ht="13" x14ac:dyDescent="0.15">
      <c r="C231" s="2"/>
      <c r="F231" s="3"/>
      <c r="K231" s="2"/>
    </row>
    <row r="232" spans="3:11" ht="13" x14ac:dyDescent="0.15">
      <c r="C232" s="2"/>
      <c r="F232" s="3"/>
      <c r="K232" s="2"/>
    </row>
    <row r="233" spans="3:11" ht="13" x14ac:dyDescent="0.15">
      <c r="C233" s="2"/>
      <c r="F233" s="3"/>
      <c r="K233" s="2"/>
    </row>
    <row r="234" spans="3:11" ht="13" x14ac:dyDescent="0.15">
      <c r="C234" s="2"/>
      <c r="F234" s="3"/>
      <c r="K234" s="2"/>
    </row>
    <row r="235" spans="3:11" ht="13" x14ac:dyDescent="0.15">
      <c r="C235" s="2"/>
      <c r="F235" s="3"/>
      <c r="K235" s="2"/>
    </row>
    <row r="236" spans="3:11" ht="13" x14ac:dyDescent="0.15">
      <c r="C236" s="2"/>
      <c r="F236" s="3"/>
      <c r="K236" s="2"/>
    </row>
    <row r="237" spans="3:11" ht="13" x14ac:dyDescent="0.15">
      <c r="C237" s="2"/>
      <c r="F237" s="3"/>
      <c r="K237" s="2"/>
    </row>
    <row r="238" spans="3:11" ht="13" x14ac:dyDescent="0.15">
      <c r="C238" s="2"/>
      <c r="F238" s="3"/>
      <c r="K238" s="2"/>
    </row>
    <row r="239" spans="3:11" ht="13" x14ac:dyDescent="0.15">
      <c r="C239" s="2"/>
      <c r="F239" s="3"/>
      <c r="K239" s="2"/>
    </row>
    <row r="240" spans="3:11" ht="13" x14ac:dyDescent="0.15">
      <c r="C240" s="2"/>
      <c r="F240" s="3"/>
      <c r="K240" s="2"/>
    </row>
    <row r="241" spans="3:11" ht="13" x14ac:dyDescent="0.15">
      <c r="C241" s="2"/>
      <c r="F241" s="3"/>
      <c r="K241" s="2"/>
    </row>
    <row r="242" spans="3:11" ht="13" x14ac:dyDescent="0.15">
      <c r="C242" s="2"/>
      <c r="F242" s="3"/>
      <c r="K242" s="2"/>
    </row>
    <row r="243" spans="3:11" ht="13" x14ac:dyDescent="0.15">
      <c r="C243" s="2"/>
      <c r="F243" s="3"/>
      <c r="K243" s="2"/>
    </row>
    <row r="244" spans="3:11" ht="13" x14ac:dyDescent="0.15">
      <c r="C244" s="2"/>
      <c r="F244" s="3"/>
      <c r="K244" s="2"/>
    </row>
    <row r="245" spans="3:11" ht="13" x14ac:dyDescent="0.15">
      <c r="C245" s="2"/>
      <c r="F245" s="3"/>
      <c r="K245" s="2"/>
    </row>
    <row r="246" spans="3:11" ht="13" x14ac:dyDescent="0.15">
      <c r="C246" s="2"/>
      <c r="F246" s="3"/>
      <c r="K246" s="2"/>
    </row>
    <row r="247" spans="3:11" ht="13" x14ac:dyDescent="0.15">
      <c r="C247" s="2"/>
      <c r="F247" s="3"/>
      <c r="K247" s="2"/>
    </row>
    <row r="248" spans="3:11" ht="13" x14ac:dyDescent="0.15">
      <c r="C248" s="2"/>
      <c r="F248" s="3"/>
      <c r="K248" s="2"/>
    </row>
    <row r="249" spans="3:11" ht="13" x14ac:dyDescent="0.15">
      <c r="C249" s="2"/>
      <c r="F249" s="3"/>
      <c r="K249" s="2"/>
    </row>
    <row r="250" spans="3:11" ht="13" x14ac:dyDescent="0.15">
      <c r="C250" s="2"/>
      <c r="F250" s="3"/>
      <c r="K250" s="2"/>
    </row>
    <row r="251" spans="3:11" ht="13" x14ac:dyDescent="0.15">
      <c r="C251" s="2"/>
      <c r="F251" s="3"/>
      <c r="K251" s="2"/>
    </row>
    <row r="252" spans="3:11" ht="13" x14ac:dyDescent="0.15">
      <c r="C252" s="2"/>
      <c r="F252" s="3"/>
      <c r="K252" s="2"/>
    </row>
    <row r="253" spans="3:11" ht="13" x14ac:dyDescent="0.15">
      <c r="C253" s="2"/>
      <c r="F253" s="3"/>
      <c r="K253" s="2"/>
    </row>
    <row r="254" spans="3:11" ht="13" x14ac:dyDescent="0.15">
      <c r="C254" s="2"/>
      <c r="F254" s="3"/>
      <c r="K254" s="2"/>
    </row>
    <row r="255" spans="3:11" ht="13" x14ac:dyDescent="0.15">
      <c r="C255" s="2"/>
      <c r="F255" s="3"/>
      <c r="K255" s="2"/>
    </row>
    <row r="256" spans="3:11" ht="13" x14ac:dyDescent="0.15">
      <c r="C256" s="2"/>
      <c r="F256" s="3"/>
      <c r="K256" s="2"/>
    </row>
    <row r="257" spans="3:11" ht="13" x14ac:dyDescent="0.15">
      <c r="C257" s="2"/>
      <c r="F257" s="3"/>
      <c r="K257" s="2"/>
    </row>
    <row r="258" spans="3:11" ht="13" x14ac:dyDescent="0.15">
      <c r="C258" s="2"/>
      <c r="F258" s="3"/>
      <c r="K258" s="2"/>
    </row>
    <row r="259" spans="3:11" ht="13" x14ac:dyDescent="0.15">
      <c r="C259" s="2"/>
      <c r="F259" s="3"/>
      <c r="K259" s="2"/>
    </row>
    <row r="260" spans="3:11" ht="13" x14ac:dyDescent="0.15">
      <c r="C260" s="2"/>
      <c r="F260" s="3"/>
      <c r="K260" s="2"/>
    </row>
    <row r="261" spans="3:11" ht="13" x14ac:dyDescent="0.15">
      <c r="C261" s="2"/>
      <c r="F261" s="3"/>
      <c r="K261" s="2"/>
    </row>
    <row r="262" spans="3:11" ht="13" x14ac:dyDescent="0.15">
      <c r="C262" s="2"/>
      <c r="F262" s="3"/>
      <c r="K262" s="2"/>
    </row>
    <row r="263" spans="3:11" ht="13" x14ac:dyDescent="0.15">
      <c r="C263" s="2"/>
      <c r="F263" s="3"/>
      <c r="K263" s="2"/>
    </row>
    <row r="264" spans="3:11" ht="13" x14ac:dyDescent="0.15">
      <c r="C264" s="2"/>
      <c r="F264" s="3"/>
      <c r="K264" s="2"/>
    </row>
    <row r="265" spans="3:11" ht="13" x14ac:dyDescent="0.15">
      <c r="C265" s="2"/>
      <c r="F265" s="3"/>
      <c r="K265" s="2"/>
    </row>
    <row r="266" spans="3:11" ht="13" x14ac:dyDescent="0.15">
      <c r="C266" s="2"/>
      <c r="F266" s="3"/>
      <c r="K266" s="2"/>
    </row>
    <row r="267" spans="3:11" ht="13" x14ac:dyDescent="0.15">
      <c r="C267" s="2"/>
      <c r="F267" s="3"/>
      <c r="K267" s="2"/>
    </row>
    <row r="268" spans="3:11" ht="13" x14ac:dyDescent="0.15">
      <c r="C268" s="2"/>
      <c r="F268" s="3"/>
      <c r="K268" s="2"/>
    </row>
    <row r="269" spans="3:11" ht="13" x14ac:dyDescent="0.15">
      <c r="C269" s="2"/>
      <c r="F269" s="3"/>
      <c r="K269" s="2"/>
    </row>
    <row r="270" spans="3:11" ht="13" x14ac:dyDescent="0.15">
      <c r="C270" s="2"/>
      <c r="F270" s="3"/>
      <c r="K270" s="2"/>
    </row>
    <row r="271" spans="3:11" ht="13" x14ac:dyDescent="0.15">
      <c r="C271" s="2"/>
      <c r="F271" s="3"/>
      <c r="K271" s="2"/>
    </row>
    <row r="272" spans="3:11" ht="13" x14ac:dyDescent="0.15">
      <c r="C272" s="2"/>
      <c r="F272" s="3"/>
      <c r="K272" s="2"/>
    </row>
    <row r="273" spans="3:11" ht="13" x14ac:dyDescent="0.15">
      <c r="C273" s="2"/>
      <c r="F273" s="3"/>
      <c r="K273" s="2"/>
    </row>
    <row r="274" spans="3:11" ht="13" x14ac:dyDescent="0.15">
      <c r="C274" s="2"/>
      <c r="F274" s="3"/>
      <c r="K274" s="2"/>
    </row>
    <row r="275" spans="3:11" ht="13" x14ac:dyDescent="0.15">
      <c r="C275" s="2"/>
      <c r="F275" s="3"/>
      <c r="K275" s="2"/>
    </row>
    <row r="276" spans="3:11" ht="13" x14ac:dyDescent="0.15">
      <c r="C276" s="2"/>
      <c r="F276" s="3"/>
      <c r="K276" s="2"/>
    </row>
    <row r="277" spans="3:11" ht="13" x14ac:dyDescent="0.15">
      <c r="C277" s="2"/>
      <c r="F277" s="3"/>
      <c r="K277" s="2"/>
    </row>
    <row r="278" spans="3:11" ht="13" x14ac:dyDescent="0.15">
      <c r="C278" s="2"/>
      <c r="F278" s="3"/>
      <c r="K278" s="2"/>
    </row>
    <row r="279" spans="3:11" ht="13" x14ac:dyDescent="0.15">
      <c r="C279" s="2"/>
      <c r="F279" s="3"/>
      <c r="K279" s="2"/>
    </row>
    <row r="280" spans="3:11" ht="13" x14ac:dyDescent="0.15">
      <c r="C280" s="2"/>
      <c r="F280" s="3"/>
      <c r="K280" s="2"/>
    </row>
    <row r="281" spans="3:11" ht="13" x14ac:dyDescent="0.15">
      <c r="C281" s="2"/>
      <c r="F281" s="3"/>
      <c r="K281" s="2"/>
    </row>
    <row r="282" spans="3:11" ht="13" x14ac:dyDescent="0.15">
      <c r="C282" s="2"/>
      <c r="F282" s="3"/>
      <c r="K282" s="2"/>
    </row>
    <row r="283" spans="3:11" ht="13" x14ac:dyDescent="0.15">
      <c r="C283" s="2"/>
      <c r="F283" s="3"/>
      <c r="K283" s="2"/>
    </row>
    <row r="284" spans="3:11" ht="13" x14ac:dyDescent="0.15">
      <c r="C284" s="2"/>
      <c r="F284" s="3"/>
      <c r="K284" s="2"/>
    </row>
    <row r="285" spans="3:11" ht="13" x14ac:dyDescent="0.15">
      <c r="C285" s="2"/>
      <c r="F285" s="3"/>
      <c r="K285" s="2"/>
    </row>
    <row r="286" spans="3:11" ht="13" x14ac:dyDescent="0.15">
      <c r="C286" s="2"/>
      <c r="F286" s="3"/>
      <c r="K286" s="2"/>
    </row>
    <row r="287" spans="3:11" ht="13" x14ac:dyDescent="0.15">
      <c r="C287" s="2"/>
      <c r="F287" s="3"/>
      <c r="K287" s="2"/>
    </row>
    <row r="288" spans="3:11" ht="13" x14ac:dyDescent="0.15">
      <c r="C288" s="2"/>
      <c r="F288" s="3"/>
      <c r="K288" s="2"/>
    </row>
    <row r="289" spans="3:11" ht="13" x14ac:dyDescent="0.15">
      <c r="C289" s="2"/>
      <c r="F289" s="3"/>
      <c r="K289" s="2"/>
    </row>
    <row r="290" spans="3:11" ht="13" x14ac:dyDescent="0.15">
      <c r="C290" s="2"/>
      <c r="F290" s="3"/>
      <c r="K290" s="2"/>
    </row>
    <row r="291" spans="3:11" ht="13" x14ac:dyDescent="0.15">
      <c r="C291" s="2"/>
      <c r="F291" s="3"/>
      <c r="K291" s="2"/>
    </row>
    <row r="292" spans="3:11" ht="13" x14ac:dyDescent="0.15">
      <c r="C292" s="2"/>
      <c r="F292" s="3"/>
      <c r="K292" s="2"/>
    </row>
    <row r="293" spans="3:11" ht="13" x14ac:dyDescent="0.15">
      <c r="C293" s="2"/>
      <c r="F293" s="3"/>
      <c r="K293" s="2"/>
    </row>
    <row r="294" spans="3:11" ht="13" x14ac:dyDescent="0.15">
      <c r="C294" s="2"/>
      <c r="F294" s="3"/>
      <c r="K294" s="2"/>
    </row>
    <row r="295" spans="3:11" ht="13" x14ac:dyDescent="0.15">
      <c r="C295" s="2"/>
      <c r="F295" s="3"/>
      <c r="K295" s="2"/>
    </row>
    <row r="296" spans="3:11" ht="13" x14ac:dyDescent="0.15">
      <c r="C296" s="2"/>
      <c r="F296" s="3"/>
      <c r="K296" s="2"/>
    </row>
    <row r="297" spans="3:11" ht="13" x14ac:dyDescent="0.15">
      <c r="C297" s="2"/>
      <c r="F297" s="3"/>
      <c r="K297" s="2"/>
    </row>
    <row r="298" spans="3:11" ht="13" x14ac:dyDescent="0.15">
      <c r="C298" s="2"/>
      <c r="F298" s="3"/>
      <c r="K298" s="2"/>
    </row>
    <row r="299" spans="3:11" ht="13" x14ac:dyDescent="0.15">
      <c r="C299" s="2"/>
      <c r="F299" s="3"/>
      <c r="K299" s="2"/>
    </row>
    <row r="300" spans="3:11" ht="13" x14ac:dyDescent="0.15">
      <c r="C300" s="2"/>
      <c r="F300" s="3"/>
      <c r="K300" s="2"/>
    </row>
    <row r="301" spans="3:11" ht="13" x14ac:dyDescent="0.15">
      <c r="C301" s="2"/>
      <c r="F301" s="3"/>
      <c r="K301" s="2"/>
    </row>
    <row r="302" spans="3:11" ht="13" x14ac:dyDescent="0.15">
      <c r="C302" s="2"/>
      <c r="F302" s="3"/>
      <c r="K302" s="2"/>
    </row>
    <row r="303" spans="3:11" ht="13" x14ac:dyDescent="0.15">
      <c r="C303" s="2"/>
      <c r="F303" s="3"/>
      <c r="K303" s="2"/>
    </row>
    <row r="304" spans="3:11" ht="13" x14ac:dyDescent="0.15">
      <c r="C304" s="2"/>
      <c r="F304" s="3"/>
      <c r="K304" s="2"/>
    </row>
    <row r="305" spans="3:11" ht="13" x14ac:dyDescent="0.15">
      <c r="C305" s="2"/>
      <c r="F305" s="3"/>
      <c r="K305" s="2"/>
    </row>
    <row r="306" spans="3:11" ht="13" x14ac:dyDescent="0.15">
      <c r="C306" s="2"/>
      <c r="F306" s="3"/>
      <c r="K306" s="2"/>
    </row>
    <row r="307" spans="3:11" ht="13" x14ac:dyDescent="0.15">
      <c r="C307" s="2"/>
      <c r="F307" s="3"/>
      <c r="K307" s="2"/>
    </row>
    <row r="308" spans="3:11" ht="13" x14ac:dyDescent="0.15">
      <c r="C308" s="2"/>
      <c r="F308" s="3"/>
      <c r="K308" s="2"/>
    </row>
    <row r="309" spans="3:11" ht="13" x14ac:dyDescent="0.15">
      <c r="C309" s="2"/>
      <c r="F309" s="3"/>
      <c r="K309" s="2"/>
    </row>
    <row r="310" spans="3:11" ht="13" x14ac:dyDescent="0.15">
      <c r="C310" s="2"/>
      <c r="F310" s="3"/>
      <c r="K310" s="2"/>
    </row>
    <row r="311" spans="3:11" ht="13" x14ac:dyDescent="0.15">
      <c r="C311" s="2"/>
      <c r="F311" s="3"/>
      <c r="K311" s="2"/>
    </row>
    <row r="312" spans="3:11" ht="13" x14ac:dyDescent="0.15">
      <c r="C312" s="2"/>
      <c r="F312" s="3"/>
      <c r="K312" s="2"/>
    </row>
    <row r="313" spans="3:11" ht="13" x14ac:dyDescent="0.15">
      <c r="C313" s="2"/>
      <c r="F313" s="3"/>
      <c r="K313" s="2"/>
    </row>
    <row r="314" spans="3:11" ht="13" x14ac:dyDescent="0.15">
      <c r="C314" s="2"/>
      <c r="F314" s="3"/>
      <c r="K314" s="2"/>
    </row>
    <row r="315" spans="3:11" ht="13" x14ac:dyDescent="0.15">
      <c r="C315" s="2"/>
      <c r="F315" s="3"/>
      <c r="K315" s="2"/>
    </row>
    <row r="316" spans="3:11" ht="13" x14ac:dyDescent="0.15">
      <c r="C316" s="2"/>
      <c r="F316" s="3"/>
      <c r="K316" s="2"/>
    </row>
    <row r="317" spans="3:11" ht="13" x14ac:dyDescent="0.15">
      <c r="C317" s="2"/>
      <c r="F317" s="3"/>
      <c r="K317" s="2"/>
    </row>
    <row r="318" spans="3:11" ht="13" x14ac:dyDescent="0.15">
      <c r="C318" s="2"/>
      <c r="F318" s="3"/>
      <c r="K318" s="2"/>
    </row>
    <row r="319" spans="3:11" ht="13" x14ac:dyDescent="0.15">
      <c r="C319" s="2"/>
      <c r="F319" s="3"/>
      <c r="K319" s="2"/>
    </row>
    <row r="320" spans="3:11" ht="13" x14ac:dyDescent="0.15">
      <c r="C320" s="2"/>
      <c r="F320" s="3"/>
      <c r="K320" s="2"/>
    </row>
    <row r="321" spans="3:11" ht="13" x14ac:dyDescent="0.15">
      <c r="C321" s="2"/>
      <c r="F321" s="3"/>
      <c r="K321" s="2"/>
    </row>
    <row r="322" spans="3:11" ht="13" x14ac:dyDescent="0.15">
      <c r="C322" s="2"/>
      <c r="F322" s="3"/>
      <c r="K322" s="2"/>
    </row>
    <row r="323" spans="3:11" ht="13" x14ac:dyDescent="0.15">
      <c r="C323" s="2"/>
      <c r="F323" s="3"/>
      <c r="K323" s="2"/>
    </row>
    <row r="324" spans="3:11" ht="13" x14ac:dyDescent="0.15">
      <c r="C324" s="2"/>
      <c r="F324" s="3"/>
      <c r="K324" s="2"/>
    </row>
    <row r="325" spans="3:11" ht="13" x14ac:dyDescent="0.15">
      <c r="C325" s="2"/>
      <c r="F325" s="3"/>
      <c r="K325" s="2"/>
    </row>
    <row r="326" spans="3:11" ht="13" x14ac:dyDescent="0.15">
      <c r="C326" s="2"/>
      <c r="F326" s="3"/>
      <c r="K326" s="2"/>
    </row>
    <row r="327" spans="3:11" ht="13" x14ac:dyDescent="0.15">
      <c r="C327" s="2"/>
      <c r="F327" s="3"/>
      <c r="K327" s="2"/>
    </row>
    <row r="328" spans="3:11" ht="13" x14ac:dyDescent="0.15">
      <c r="C328" s="2"/>
      <c r="F328" s="3"/>
      <c r="K328" s="2"/>
    </row>
    <row r="329" spans="3:11" ht="13" x14ac:dyDescent="0.15">
      <c r="C329" s="2"/>
      <c r="F329" s="3"/>
      <c r="K329" s="2"/>
    </row>
    <row r="330" spans="3:11" ht="13" x14ac:dyDescent="0.15">
      <c r="C330" s="2"/>
      <c r="F330" s="3"/>
      <c r="K330" s="2"/>
    </row>
    <row r="331" spans="3:11" ht="13" x14ac:dyDescent="0.15">
      <c r="C331" s="2"/>
      <c r="F331" s="3"/>
      <c r="K331" s="2"/>
    </row>
    <row r="332" spans="3:11" ht="13" x14ac:dyDescent="0.15">
      <c r="C332" s="2"/>
      <c r="F332" s="3"/>
      <c r="K332" s="2"/>
    </row>
    <row r="333" spans="3:11" ht="13" x14ac:dyDescent="0.15">
      <c r="C333" s="2"/>
      <c r="F333" s="3"/>
      <c r="K333" s="2"/>
    </row>
    <row r="334" spans="3:11" ht="13" x14ac:dyDescent="0.15">
      <c r="C334" s="2"/>
      <c r="F334" s="3"/>
      <c r="K334" s="2"/>
    </row>
    <row r="335" spans="3:11" ht="13" x14ac:dyDescent="0.15">
      <c r="C335" s="2"/>
      <c r="F335" s="3"/>
      <c r="K335" s="2"/>
    </row>
    <row r="336" spans="3:11" ht="13" x14ac:dyDescent="0.15">
      <c r="C336" s="2"/>
      <c r="F336" s="3"/>
      <c r="K336" s="2"/>
    </row>
    <row r="337" spans="3:11" ht="13" x14ac:dyDescent="0.15">
      <c r="C337" s="2"/>
      <c r="F337" s="3"/>
      <c r="K337" s="2"/>
    </row>
    <row r="338" spans="3:11" ht="13" x14ac:dyDescent="0.15">
      <c r="C338" s="2"/>
      <c r="F338" s="3"/>
      <c r="K338" s="2"/>
    </row>
    <row r="339" spans="3:11" ht="13" x14ac:dyDescent="0.15">
      <c r="C339" s="2"/>
      <c r="F339" s="3"/>
      <c r="K339" s="2"/>
    </row>
    <row r="340" spans="3:11" ht="13" x14ac:dyDescent="0.15">
      <c r="C340" s="2"/>
      <c r="F340" s="3"/>
      <c r="K340" s="2"/>
    </row>
    <row r="341" spans="3:11" ht="13" x14ac:dyDescent="0.15">
      <c r="C341" s="2"/>
      <c r="F341" s="3"/>
      <c r="K341" s="2"/>
    </row>
    <row r="342" spans="3:11" ht="13" x14ac:dyDescent="0.15">
      <c r="C342" s="2"/>
      <c r="F342" s="3"/>
      <c r="K342" s="2"/>
    </row>
    <row r="343" spans="3:11" ht="13" x14ac:dyDescent="0.15">
      <c r="C343" s="2"/>
      <c r="F343" s="3"/>
      <c r="K343" s="2"/>
    </row>
    <row r="344" spans="3:11" ht="13" x14ac:dyDescent="0.15">
      <c r="C344" s="2"/>
      <c r="F344" s="3"/>
      <c r="K344" s="2"/>
    </row>
    <row r="345" spans="3:11" ht="13" x14ac:dyDescent="0.15">
      <c r="C345" s="2"/>
      <c r="F345" s="3"/>
      <c r="K345" s="2"/>
    </row>
    <row r="346" spans="3:11" ht="13" x14ac:dyDescent="0.15">
      <c r="C346" s="2"/>
      <c r="F346" s="3"/>
      <c r="K346" s="2"/>
    </row>
    <row r="347" spans="3:11" ht="13" x14ac:dyDescent="0.15">
      <c r="C347" s="2"/>
      <c r="F347" s="3"/>
      <c r="K347" s="2"/>
    </row>
    <row r="348" spans="3:11" ht="13" x14ac:dyDescent="0.15">
      <c r="C348" s="2"/>
      <c r="F348" s="3"/>
      <c r="K348" s="2"/>
    </row>
    <row r="349" spans="3:11" ht="13" x14ac:dyDescent="0.15">
      <c r="C349" s="2"/>
      <c r="F349" s="3"/>
      <c r="K349" s="2"/>
    </row>
    <row r="350" spans="3:11" ht="13" x14ac:dyDescent="0.15">
      <c r="C350" s="2"/>
      <c r="F350" s="3"/>
      <c r="K350" s="2"/>
    </row>
    <row r="351" spans="3:11" ht="13" x14ac:dyDescent="0.15">
      <c r="C351" s="2"/>
      <c r="F351" s="3"/>
      <c r="K351" s="2"/>
    </row>
    <row r="352" spans="3:11" ht="13" x14ac:dyDescent="0.15">
      <c r="C352" s="2"/>
      <c r="F352" s="3"/>
      <c r="K352" s="2"/>
    </row>
    <row r="353" spans="3:11" ht="13" x14ac:dyDescent="0.15">
      <c r="C353" s="2"/>
      <c r="F353" s="3"/>
      <c r="K353" s="2"/>
    </row>
    <row r="354" spans="3:11" ht="13" x14ac:dyDescent="0.15">
      <c r="C354" s="2"/>
      <c r="F354" s="3"/>
      <c r="K354" s="2"/>
    </row>
    <row r="355" spans="3:11" ht="13" x14ac:dyDescent="0.15">
      <c r="C355" s="2"/>
      <c r="F355" s="3"/>
      <c r="K355" s="2"/>
    </row>
    <row r="356" spans="3:11" ht="13" x14ac:dyDescent="0.15">
      <c r="C356" s="2"/>
      <c r="F356" s="3"/>
      <c r="K356" s="2"/>
    </row>
    <row r="357" spans="3:11" ht="13" x14ac:dyDescent="0.15">
      <c r="C357" s="2"/>
      <c r="F357" s="3"/>
      <c r="K357" s="2"/>
    </row>
    <row r="358" spans="3:11" ht="13" x14ac:dyDescent="0.15">
      <c r="C358" s="2"/>
      <c r="F358" s="3"/>
      <c r="K358" s="2"/>
    </row>
    <row r="359" spans="3:11" ht="13" x14ac:dyDescent="0.15">
      <c r="C359" s="2"/>
      <c r="F359" s="3"/>
      <c r="K359" s="2"/>
    </row>
    <row r="360" spans="3:11" ht="13" x14ac:dyDescent="0.15">
      <c r="C360" s="2"/>
      <c r="F360" s="3"/>
      <c r="K360" s="2"/>
    </row>
    <row r="361" spans="3:11" ht="13" x14ac:dyDescent="0.15">
      <c r="C361" s="2"/>
      <c r="F361" s="3"/>
      <c r="K361" s="2"/>
    </row>
    <row r="362" spans="3:11" ht="13" x14ac:dyDescent="0.15">
      <c r="C362" s="2"/>
      <c r="F362" s="3"/>
      <c r="K362" s="2"/>
    </row>
    <row r="363" spans="3:11" ht="13" x14ac:dyDescent="0.15">
      <c r="C363" s="2"/>
      <c r="F363" s="3"/>
      <c r="K363" s="2"/>
    </row>
    <row r="364" spans="3:11" ht="13" x14ac:dyDescent="0.15">
      <c r="C364" s="2"/>
      <c r="F364" s="3"/>
      <c r="K364" s="2"/>
    </row>
    <row r="365" spans="3:11" ht="13" x14ac:dyDescent="0.15">
      <c r="C365" s="2"/>
      <c r="F365" s="3"/>
      <c r="K365" s="2"/>
    </row>
    <row r="366" spans="3:11" ht="13" x14ac:dyDescent="0.15">
      <c r="C366" s="2"/>
      <c r="F366" s="3"/>
      <c r="K366" s="2"/>
    </row>
    <row r="367" spans="3:11" ht="13" x14ac:dyDescent="0.15">
      <c r="C367" s="2"/>
      <c r="F367" s="3"/>
      <c r="K367" s="2"/>
    </row>
    <row r="368" spans="3:11" ht="13" x14ac:dyDescent="0.15">
      <c r="C368" s="2"/>
      <c r="F368" s="3"/>
      <c r="K368" s="2"/>
    </row>
    <row r="369" spans="3:11" ht="13" x14ac:dyDescent="0.15">
      <c r="C369" s="2"/>
      <c r="F369" s="3"/>
      <c r="K369" s="2"/>
    </row>
    <row r="370" spans="3:11" ht="13" x14ac:dyDescent="0.15">
      <c r="C370" s="2"/>
      <c r="F370" s="3"/>
      <c r="K370" s="2"/>
    </row>
    <row r="371" spans="3:11" ht="13" x14ac:dyDescent="0.15">
      <c r="C371" s="2"/>
      <c r="F371" s="3"/>
      <c r="K371" s="2"/>
    </row>
    <row r="372" spans="3:11" ht="13" x14ac:dyDescent="0.15">
      <c r="C372" s="2"/>
      <c r="F372" s="3"/>
      <c r="K372" s="2"/>
    </row>
    <row r="373" spans="3:11" ht="13" x14ac:dyDescent="0.15">
      <c r="C373" s="2"/>
      <c r="F373" s="3"/>
      <c r="K373" s="2"/>
    </row>
    <row r="374" spans="3:11" ht="13" x14ac:dyDescent="0.15">
      <c r="C374" s="2"/>
      <c r="F374" s="3"/>
      <c r="K374" s="2"/>
    </row>
    <row r="375" spans="3:11" ht="13" x14ac:dyDescent="0.15">
      <c r="C375" s="2"/>
      <c r="F375" s="3"/>
      <c r="K375" s="2"/>
    </row>
    <row r="376" spans="3:11" ht="13" x14ac:dyDescent="0.15">
      <c r="C376" s="2"/>
      <c r="F376" s="3"/>
      <c r="K376" s="2"/>
    </row>
    <row r="377" spans="3:11" ht="13" x14ac:dyDescent="0.15">
      <c r="C377" s="2"/>
      <c r="F377" s="3"/>
      <c r="K377" s="2"/>
    </row>
    <row r="378" spans="3:11" ht="13" x14ac:dyDescent="0.15">
      <c r="C378" s="2"/>
      <c r="F378" s="3"/>
      <c r="K378" s="2"/>
    </row>
    <row r="379" spans="3:11" ht="13" x14ac:dyDescent="0.15">
      <c r="C379" s="2"/>
      <c r="F379" s="3"/>
      <c r="K379" s="2"/>
    </row>
    <row r="380" spans="3:11" ht="13" x14ac:dyDescent="0.15">
      <c r="C380" s="2"/>
      <c r="F380" s="3"/>
      <c r="K380" s="2"/>
    </row>
    <row r="381" spans="3:11" ht="13" x14ac:dyDescent="0.15">
      <c r="C381" s="2"/>
      <c r="F381" s="3"/>
      <c r="K381" s="2"/>
    </row>
    <row r="382" spans="3:11" ht="13" x14ac:dyDescent="0.15">
      <c r="C382" s="2"/>
      <c r="F382" s="3"/>
      <c r="K382" s="2"/>
    </row>
    <row r="383" spans="3:11" ht="13" x14ac:dyDescent="0.15">
      <c r="C383" s="2"/>
      <c r="F383" s="3"/>
      <c r="K383" s="2"/>
    </row>
    <row r="384" spans="3:11" ht="13" x14ac:dyDescent="0.15">
      <c r="C384" s="2"/>
      <c r="F384" s="3"/>
      <c r="K384" s="2"/>
    </row>
    <row r="385" spans="3:11" ht="13" x14ac:dyDescent="0.15">
      <c r="C385" s="2"/>
      <c r="F385" s="3"/>
      <c r="K385" s="2"/>
    </row>
    <row r="386" spans="3:11" ht="13" x14ac:dyDescent="0.15">
      <c r="C386" s="2"/>
      <c r="F386" s="3"/>
      <c r="K386" s="2"/>
    </row>
    <row r="387" spans="3:11" ht="13" x14ac:dyDescent="0.15">
      <c r="C387" s="2"/>
      <c r="F387" s="3"/>
      <c r="K387" s="2"/>
    </row>
    <row r="388" spans="3:11" ht="13" x14ac:dyDescent="0.15">
      <c r="C388" s="2"/>
      <c r="F388" s="3"/>
      <c r="K388" s="2"/>
    </row>
    <row r="389" spans="3:11" ht="13" x14ac:dyDescent="0.15">
      <c r="C389" s="2"/>
      <c r="F389" s="3"/>
      <c r="K389" s="2"/>
    </row>
    <row r="390" spans="3:11" ht="13" x14ac:dyDescent="0.15">
      <c r="C390" s="2"/>
      <c r="F390" s="3"/>
      <c r="K390" s="2"/>
    </row>
    <row r="391" spans="3:11" ht="13" x14ac:dyDescent="0.15">
      <c r="C391" s="2"/>
      <c r="F391" s="3"/>
      <c r="K391" s="2"/>
    </row>
    <row r="392" spans="3:11" ht="13" x14ac:dyDescent="0.15">
      <c r="C392" s="2"/>
      <c r="F392" s="3"/>
      <c r="K392" s="2"/>
    </row>
    <row r="393" spans="3:11" ht="13" x14ac:dyDescent="0.15">
      <c r="C393" s="2"/>
      <c r="F393" s="3"/>
      <c r="K393" s="2"/>
    </row>
    <row r="394" spans="3:11" ht="13" x14ac:dyDescent="0.15">
      <c r="C394" s="2"/>
      <c r="F394" s="3"/>
      <c r="K394" s="2"/>
    </row>
    <row r="395" spans="3:11" ht="13" x14ac:dyDescent="0.15">
      <c r="C395" s="2"/>
      <c r="F395" s="3"/>
      <c r="K395" s="2"/>
    </row>
    <row r="396" spans="3:11" ht="13" x14ac:dyDescent="0.15">
      <c r="C396" s="2"/>
      <c r="F396" s="3"/>
      <c r="K396" s="2"/>
    </row>
    <row r="397" spans="3:11" ht="13" x14ac:dyDescent="0.15">
      <c r="C397" s="2"/>
      <c r="F397" s="3"/>
      <c r="K397" s="2"/>
    </row>
    <row r="398" spans="3:11" ht="13" x14ac:dyDescent="0.15">
      <c r="C398" s="2"/>
      <c r="F398" s="3"/>
      <c r="K398" s="2"/>
    </row>
    <row r="399" spans="3:11" ht="13" x14ac:dyDescent="0.15">
      <c r="C399" s="2"/>
      <c r="F399" s="3"/>
      <c r="K399" s="2"/>
    </row>
    <row r="400" spans="3:11" ht="13" x14ac:dyDescent="0.15">
      <c r="C400" s="2"/>
      <c r="F400" s="3"/>
      <c r="K400" s="2"/>
    </row>
    <row r="401" spans="3:11" ht="13" x14ac:dyDescent="0.15">
      <c r="C401" s="2"/>
      <c r="F401" s="3"/>
      <c r="K401" s="2"/>
    </row>
    <row r="402" spans="3:11" ht="13" x14ac:dyDescent="0.15">
      <c r="C402" s="2"/>
      <c r="F402" s="3"/>
      <c r="K402" s="2"/>
    </row>
    <row r="403" spans="3:11" ht="13" x14ac:dyDescent="0.15">
      <c r="C403" s="2"/>
      <c r="F403" s="3"/>
      <c r="K403" s="2"/>
    </row>
    <row r="404" spans="3:11" ht="13" x14ac:dyDescent="0.15">
      <c r="C404" s="2"/>
      <c r="F404" s="3"/>
      <c r="K404" s="2"/>
    </row>
    <row r="405" spans="3:11" ht="13" x14ac:dyDescent="0.15">
      <c r="C405" s="2"/>
      <c r="F405" s="3"/>
      <c r="K405" s="2"/>
    </row>
    <row r="406" spans="3:11" ht="13" x14ac:dyDescent="0.15">
      <c r="C406" s="2"/>
      <c r="F406" s="3"/>
      <c r="K406" s="2"/>
    </row>
    <row r="407" spans="3:11" ht="13" x14ac:dyDescent="0.15">
      <c r="C407" s="2"/>
      <c r="F407" s="3"/>
      <c r="K407" s="2"/>
    </row>
    <row r="408" spans="3:11" ht="13" x14ac:dyDescent="0.15">
      <c r="C408" s="2"/>
      <c r="F408" s="3"/>
      <c r="K408" s="2"/>
    </row>
    <row r="409" spans="3:11" ht="13" x14ac:dyDescent="0.15">
      <c r="C409" s="2"/>
      <c r="F409" s="3"/>
      <c r="K409" s="2"/>
    </row>
    <row r="410" spans="3:11" ht="13" x14ac:dyDescent="0.15">
      <c r="C410" s="2"/>
      <c r="F410" s="3"/>
      <c r="K410" s="2"/>
    </row>
    <row r="411" spans="3:11" ht="13" x14ac:dyDescent="0.15">
      <c r="C411" s="2"/>
      <c r="F411" s="3"/>
      <c r="K411" s="2"/>
    </row>
    <row r="412" spans="3:11" ht="13" x14ac:dyDescent="0.15">
      <c r="C412" s="2"/>
      <c r="F412" s="3"/>
      <c r="K412" s="2"/>
    </row>
    <row r="413" spans="3:11" ht="13" x14ac:dyDescent="0.15">
      <c r="C413" s="2"/>
      <c r="F413" s="3"/>
      <c r="K413" s="2"/>
    </row>
    <row r="414" spans="3:11" ht="13" x14ac:dyDescent="0.15">
      <c r="C414" s="2"/>
      <c r="F414" s="3"/>
      <c r="K414" s="2"/>
    </row>
    <row r="415" spans="3:11" ht="13" x14ac:dyDescent="0.15">
      <c r="C415" s="2"/>
      <c r="F415" s="3"/>
      <c r="K415" s="2"/>
    </row>
    <row r="416" spans="3:11" ht="13" x14ac:dyDescent="0.15">
      <c r="C416" s="2"/>
      <c r="F416" s="3"/>
      <c r="K416" s="2"/>
    </row>
    <row r="417" spans="3:11" ht="13" x14ac:dyDescent="0.15">
      <c r="C417" s="2"/>
      <c r="F417" s="3"/>
      <c r="K417" s="2"/>
    </row>
    <row r="418" spans="3:11" ht="13" x14ac:dyDescent="0.15">
      <c r="C418" s="2"/>
      <c r="F418" s="3"/>
      <c r="K418" s="2"/>
    </row>
    <row r="419" spans="3:11" ht="13" x14ac:dyDescent="0.15">
      <c r="C419" s="2"/>
      <c r="F419" s="3"/>
      <c r="K419" s="2"/>
    </row>
    <row r="420" spans="3:11" ht="13" x14ac:dyDescent="0.15">
      <c r="C420" s="2"/>
      <c r="F420" s="3"/>
      <c r="K420" s="2"/>
    </row>
    <row r="421" spans="3:11" ht="13" x14ac:dyDescent="0.15">
      <c r="C421" s="2"/>
      <c r="F421" s="3"/>
      <c r="K421" s="2"/>
    </row>
    <row r="422" spans="3:11" ht="13" x14ac:dyDescent="0.15">
      <c r="C422" s="2"/>
      <c r="F422" s="3"/>
      <c r="K422" s="2"/>
    </row>
    <row r="423" spans="3:11" ht="13" x14ac:dyDescent="0.15">
      <c r="C423" s="2"/>
      <c r="F423" s="3"/>
      <c r="K423" s="2"/>
    </row>
    <row r="424" spans="3:11" ht="13" x14ac:dyDescent="0.15">
      <c r="C424" s="2"/>
      <c r="F424" s="3"/>
      <c r="K424" s="2"/>
    </row>
    <row r="425" spans="3:11" ht="13" x14ac:dyDescent="0.15">
      <c r="C425" s="2"/>
      <c r="F425" s="3"/>
      <c r="K425" s="2"/>
    </row>
    <row r="426" spans="3:11" ht="13" x14ac:dyDescent="0.15">
      <c r="C426" s="2"/>
      <c r="F426" s="3"/>
      <c r="K426" s="2"/>
    </row>
    <row r="427" spans="3:11" ht="13" x14ac:dyDescent="0.15">
      <c r="C427" s="2"/>
      <c r="F427" s="3"/>
      <c r="K427" s="2"/>
    </row>
    <row r="428" spans="3:11" ht="13" x14ac:dyDescent="0.15">
      <c r="C428" s="2"/>
      <c r="F428" s="3"/>
      <c r="K428" s="2"/>
    </row>
    <row r="429" spans="3:11" ht="13" x14ac:dyDescent="0.15">
      <c r="C429" s="2"/>
      <c r="F429" s="3"/>
      <c r="K429" s="2"/>
    </row>
    <row r="430" spans="3:11" ht="13" x14ac:dyDescent="0.15">
      <c r="C430" s="2"/>
      <c r="F430" s="3"/>
      <c r="K430" s="2"/>
    </row>
    <row r="431" spans="3:11" ht="13" x14ac:dyDescent="0.15">
      <c r="C431" s="2"/>
      <c r="F431" s="3"/>
      <c r="K431" s="2"/>
    </row>
    <row r="432" spans="3:11" ht="13" x14ac:dyDescent="0.15">
      <c r="C432" s="2"/>
      <c r="F432" s="3"/>
      <c r="K432" s="2"/>
    </row>
    <row r="433" spans="3:11" ht="13" x14ac:dyDescent="0.15">
      <c r="C433" s="2"/>
      <c r="F433" s="3"/>
      <c r="K433" s="2"/>
    </row>
    <row r="434" spans="3:11" ht="13" x14ac:dyDescent="0.15">
      <c r="C434" s="2"/>
      <c r="F434" s="3"/>
      <c r="K434" s="2"/>
    </row>
    <row r="435" spans="3:11" ht="13" x14ac:dyDescent="0.15">
      <c r="C435" s="2"/>
      <c r="F435" s="3"/>
      <c r="K435" s="2"/>
    </row>
    <row r="436" spans="3:11" ht="13" x14ac:dyDescent="0.15">
      <c r="C436" s="2"/>
      <c r="F436" s="3"/>
      <c r="K436" s="2"/>
    </row>
    <row r="437" spans="3:11" ht="13" x14ac:dyDescent="0.15">
      <c r="C437" s="2"/>
      <c r="F437" s="3"/>
      <c r="K437" s="2"/>
    </row>
    <row r="438" spans="3:11" ht="13" x14ac:dyDescent="0.15">
      <c r="C438" s="2"/>
      <c r="F438" s="3"/>
      <c r="K438" s="2"/>
    </row>
    <row r="439" spans="3:11" ht="13" x14ac:dyDescent="0.15">
      <c r="C439" s="2"/>
      <c r="F439" s="3"/>
      <c r="K439" s="2"/>
    </row>
    <row r="440" spans="3:11" ht="13" x14ac:dyDescent="0.15">
      <c r="C440" s="2"/>
      <c r="F440" s="3"/>
      <c r="K440" s="2"/>
    </row>
    <row r="441" spans="3:11" ht="13" x14ac:dyDescent="0.15">
      <c r="C441" s="2"/>
      <c r="F441" s="3"/>
      <c r="K441" s="2"/>
    </row>
    <row r="442" spans="3:11" ht="13" x14ac:dyDescent="0.15">
      <c r="C442" s="2"/>
      <c r="F442" s="3"/>
      <c r="K442" s="2"/>
    </row>
    <row r="443" spans="3:11" ht="13" x14ac:dyDescent="0.15">
      <c r="C443" s="2"/>
      <c r="F443" s="3"/>
      <c r="K443" s="2"/>
    </row>
    <row r="444" spans="3:11" ht="13" x14ac:dyDescent="0.15">
      <c r="C444" s="2"/>
      <c r="F444" s="3"/>
      <c r="K444" s="2"/>
    </row>
    <row r="445" spans="3:11" ht="13" x14ac:dyDescent="0.15">
      <c r="C445" s="2"/>
      <c r="F445" s="3"/>
      <c r="K445" s="2"/>
    </row>
    <row r="446" spans="3:11" ht="13" x14ac:dyDescent="0.15">
      <c r="C446" s="2"/>
      <c r="F446" s="3"/>
      <c r="K446" s="2"/>
    </row>
    <row r="447" spans="3:11" ht="13" x14ac:dyDescent="0.15">
      <c r="C447" s="2"/>
      <c r="F447" s="3"/>
      <c r="K447" s="2"/>
    </row>
    <row r="448" spans="3:11" ht="13" x14ac:dyDescent="0.15">
      <c r="C448" s="2"/>
      <c r="F448" s="3"/>
      <c r="K448" s="2"/>
    </row>
    <row r="449" spans="3:11" ht="13" x14ac:dyDescent="0.15">
      <c r="C449" s="2"/>
      <c r="F449" s="3"/>
      <c r="K449" s="2"/>
    </row>
    <row r="450" spans="3:11" ht="13" x14ac:dyDescent="0.15">
      <c r="C450" s="2"/>
      <c r="F450" s="3"/>
      <c r="K450" s="2"/>
    </row>
    <row r="451" spans="3:11" ht="13" x14ac:dyDescent="0.15">
      <c r="C451" s="2"/>
      <c r="F451" s="3"/>
      <c r="K451" s="2"/>
    </row>
    <row r="452" spans="3:11" ht="13" x14ac:dyDescent="0.15">
      <c r="C452" s="2"/>
      <c r="F452" s="3"/>
      <c r="K452" s="2"/>
    </row>
    <row r="453" spans="3:11" ht="13" x14ac:dyDescent="0.15">
      <c r="C453" s="2"/>
      <c r="F453" s="3"/>
      <c r="K453" s="2"/>
    </row>
    <row r="454" spans="3:11" ht="13" x14ac:dyDescent="0.15">
      <c r="C454" s="2"/>
      <c r="F454" s="3"/>
      <c r="K454" s="2"/>
    </row>
    <row r="455" spans="3:11" ht="13" x14ac:dyDescent="0.15">
      <c r="C455" s="2"/>
      <c r="F455" s="3"/>
      <c r="K455" s="2"/>
    </row>
    <row r="456" spans="3:11" ht="13" x14ac:dyDescent="0.15">
      <c r="C456" s="2"/>
      <c r="F456" s="3"/>
      <c r="K456" s="2"/>
    </row>
    <row r="457" spans="3:11" ht="13" x14ac:dyDescent="0.15">
      <c r="C457" s="2"/>
      <c r="F457" s="3"/>
      <c r="K457" s="2"/>
    </row>
    <row r="458" spans="3:11" ht="13" x14ac:dyDescent="0.15">
      <c r="C458" s="2"/>
      <c r="F458" s="3"/>
      <c r="K458" s="2"/>
    </row>
    <row r="459" spans="3:11" ht="13" x14ac:dyDescent="0.15">
      <c r="C459" s="2"/>
      <c r="F459" s="3"/>
      <c r="K459" s="2"/>
    </row>
    <row r="460" spans="3:11" ht="13" x14ac:dyDescent="0.15">
      <c r="C460" s="2"/>
      <c r="F460" s="3"/>
      <c r="K460" s="2"/>
    </row>
    <row r="461" spans="3:11" ht="13" x14ac:dyDescent="0.15">
      <c r="C461" s="2"/>
      <c r="F461" s="3"/>
      <c r="K461" s="2"/>
    </row>
    <row r="462" spans="3:11" ht="13" x14ac:dyDescent="0.15">
      <c r="C462" s="2"/>
      <c r="F462" s="3"/>
      <c r="K462" s="2"/>
    </row>
    <row r="463" spans="3:11" ht="13" x14ac:dyDescent="0.15">
      <c r="C463" s="2"/>
      <c r="F463" s="3"/>
      <c r="K463" s="2"/>
    </row>
    <row r="464" spans="3:11" ht="13" x14ac:dyDescent="0.15">
      <c r="C464" s="2"/>
      <c r="F464" s="3"/>
      <c r="K464" s="2"/>
    </row>
    <row r="465" spans="3:11" ht="13" x14ac:dyDescent="0.15">
      <c r="C465" s="2"/>
      <c r="F465" s="3"/>
      <c r="K465" s="2"/>
    </row>
    <row r="466" spans="3:11" ht="13" x14ac:dyDescent="0.15">
      <c r="C466" s="2"/>
      <c r="F466" s="3"/>
      <c r="K466" s="2"/>
    </row>
    <row r="467" spans="3:11" ht="13" x14ac:dyDescent="0.15">
      <c r="C467" s="2"/>
      <c r="F467" s="3"/>
      <c r="K467" s="2"/>
    </row>
    <row r="468" spans="3:11" ht="13" x14ac:dyDescent="0.15">
      <c r="C468" s="2"/>
      <c r="F468" s="3"/>
      <c r="K468" s="2"/>
    </row>
    <row r="469" spans="3:11" ht="13" x14ac:dyDescent="0.15">
      <c r="C469" s="2"/>
      <c r="F469" s="3"/>
      <c r="K469" s="2"/>
    </row>
    <row r="470" spans="3:11" ht="13" x14ac:dyDescent="0.15">
      <c r="C470" s="2"/>
      <c r="F470" s="3"/>
      <c r="K470" s="2"/>
    </row>
    <row r="471" spans="3:11" ht="13" x14ac:dyDescent="0.15">
      <c r="C471" s="2"/>
      <c r="F471" s="3"/>
      <c r="K471" s="2"/>
    </row>
    <row r="472" spans="3:11" ht="13" x14ac:dyDescent="0.15">
      <c r="C472" s="2"/>
      <c r="F472" s="3"/>
      <c r="K472" s="2"/>
    </row>
    <row r="473" spans="3:11" ht="13" x14ac:dyDescent="0.15">
      <c r="C473" s="2"/>
      <c r="F473" s="3"/>
      <c r="K473" s="2"/>
    </row>
    <row r="474" spans="3:11" ht="13" x14ac:dyDescent="0.15">
      <c r="C474" s="2"/>
      <c r="F474" s="3"/>
      <c r="K474" s="2"/>
    </row>
    <row r="475" spans="3:11" ht="13" x14ac:dyDescent="0.15">
      <c r="C475" s="2"/>
      <c r="F475" s="3"/>
      <c r="K475" s="2"/>
    </row>
    <row r="476" spans="3:11" ht="13" x14ac:dyDescent="0.15">
      <c r="C476" s="2"/>
      <c r="F476" s="3"/>
      <c r="K476" s="2"/>
    </row>
    <row r="477" spans="3:11" ht="13" x14ac:dyDescent="0.15">
      <c r="C477" s="2"/>
      <c r="F477" s="3"/>
      <c r="K477" s="2"/>
    </row>
    <row r="478" spans="3:11" ht="13" x14ac:dyDescent="0.15">
      <c r="C478" s="2"/>
      <c r="F478" s="3"/>
      <c r="K478" s="2"/>
    </row>
    <row r="479" spans="3:11" ht="13" x14ac:dyDescent="0.15">
      <c r="C479" s="2"/>
      <c r="F479" s="3"/>
      <c r="K479" s="2"/>
    </row>
    <row r="480" spans="3:11" ht="13" x14ac:dyDescent="0.15">
      <c r="C480" s="2"/>
      <c r="F480" s="3"/>
      <c r="K480" s="2"/>
    </row>
    <row r="481" spans="3:11" ht="13" x14ac:dyDescent="0.15">
      <c r="C481" s="2"/>
      <c r="F481" s="3"/>
      <c r="K481" s="2"/>
    </row>
    <row r="482" spans="3:11" ht="13" x14ac:dyDescent="0.15">
      <c r="C482" s="2"/>
      <c r="F482" s="3"/>
      <c r="K482" s="2"/>
    </row>
    <row r="483" spans="3:11" ht="13" x14ac:dyDescent="0.15">
      <c r="C483" s="2"/>
      <c r="F483" s="3"/>
      <c r="K483" s="2"/>
    </row>
    <row r="484" spans="3:11" ht="13" x14ac:dyDescent="0.15">
      <c r="C484" s="2"/>
      <c r="F484" s="3"/>
      <c r="K484" s="2"/>
    </row>
    <row r="485" spans="3:11" ht="13" x14ac:dyDescent="0.15">
      <c r="C485" s="2"/>
      <c r="F485" s="3"/>
      <c r="K485" s="2"/>
    </row>
    <row r="486" spans="3:11" ht="13" x14ac:dyDescent="0.15">
      <c r="C486" s="2"/>
      <c r="F486" s="3"/>
      <c r="K486" s="2"/>
    </row>
    <row r="487" spans="3:11" ht="13" x14ac:dyDescent="0.15">
      <c r="C487" s="2"/>
      <c r="F487" s="3"/>
      <c r="K487" s="2"/>
    </row>
    <row r="488" spans="3:11" ht="13" x14ac:dyDescent="0.15">
      <c r="C488" s="2"/>
      <c r="F488" s="3"/>
      <c r="K488" s="2"/>
    </row>
    <row r="489" spans="3:11" ht="13" x14ac:dyDescent="0.15">
      <c r="C489" s="2"/>
      <c r="F489" s="3"/>
      <c r="K489" s="2"/>
    </row>
    <row r="490" spans="3:11" ht="13" x14ac:dyDescent="0.15">
      <c r="C490" s="2"/>
      <c r="F490" s="3"/>
      <c r="K490" s="2"/>
    </row>
    <row r="491" spans="3:11" ht="13" x14ac:dyDescent="0.15">
      <c r="C491" s="2"/>
      <c r="F491" s="3"/>
      <c r="K491" s="2"/>
    </row>
    <row r="492" spans="3:11" ht="13" x14ac:dyDescent="0.15">
      <c r="C492" s="2"/>
      <c r="F492" s="3"/>
      <c r="K492" s="2"/>
    </row>
    <row r="493" spans="3:11" ht="13" x14ac:dyDescent="0.15">
      <c r="C493" s="2"/>
      <c r="F493" s="3"/>
      <c r="K493" s="2"/>
    </row>
    <row r="494" spans="3:11" ht="13" x14ac:dyDescent="0.15">
      <c r="C494" s="2"/>
      <c r="F494" s="3"/>
      <c r="K494" s="2"/>
    </row>
    <row r="495" spans="3:11" ht="13" x14ac:dyDescent="0.15">
      <c r="C495" s="2"/>
      <c r="F495" s="3"/>
      <c r="K495" s="2"/>
    </row>
    <row r="496" spans="3:11" ht="13" x14ac:dyDescent="0.15">
      <c r="C496" s="2"/>
      <c r="F496" s="3"/>
      <c r="K496" s="2"/>
    </row>
    <row r="497" spans="3:11" ht="13" x14ac:dyDescent="0.15">
      <c r="C497" s="2"/>
      <c r="F497" s="3"/>
      <c r="K497" s="2"/>
    </row>
    <row r="498" spans="3:11" ht="13" x14ac:dyDescent="0.15">
      <c r="C498" s="2"/>
      <c r="F498" s="3"/>
      <c r="K498" s="2"/>
    </row>
    <row r="499" spans="3:11" ht="13" x14ac:dyDescent="0.15">
      <c r="C499" s="2"/>
      <c r="F499" s="3"/>
      <c r="K499" s="2"/>
    </row>
    <row r="500" spans="3:11" ht="13" x14ac:dyDescent="0.15">
      <c r="C500" s="2"/>
      <c r="F500" s="3"/>
      <c r="K500" s="2"/>
    </row>
    <row r="501" spans="3:11" ht="13" x14ac:dyDescent="0.15">
      <c r="C501" s="2"/>
      <c r="F501" s="3"/>
      <c r="K501" s="2"/>
    </row>
    <row r="502" spans="3:11" ht="13" x14ac:dyDescent="0.15">
      <c r="C502" s="2"/>
      <c r="F502" s="3"/>
      <c r="K502" s="2"/>
    </row>
    <row r="503" spans="3:11" ht="13" x14ac:dyDescent="0.15">
      <c r="C503" s="2"/>
      <c r="F503" s="3"/>
      <c r="K503" s="2"/>
    </row>
    <row r="504" spans="3:11" ht="13" x14ac:dyDescent="0.15">
      <c r="C504" s="2"/>
      <c r="F504" s="3"/>
      <c r="K504" s="2"/>
    </row>
    <row r="505" spans="3:11" ht="13" x14ac:dyDescent="0.15">
      <c r="C505" s="2"/>
      <c r="F505" s="3"/>
      <c r="K505" s="2"/>
    </row>
    <row r="506" spans="3:11" ht="13" x14ac:dyDescent="0.15">
      <c r="C506" s="2"/>
      <c r="F506" s="3"/>
      <c r="K506" s="2"/>
    </row>
    <row r="507" spans="3:11" ht="13" x14ac:dyDescent="0.15">
      <c r="C507" s="2"/>
      <c r="F507" s="3"/>
      <c r="K507" s="2"/>
    </row>
    <row r="508" spans="3:11" ht="13" x14ac:dyDescent="0.15">
      <c r="C508" s="2"/>
      <c r="F508" s="3"/>
      <c r="K508" s="2"/>
    </row>
    <row r="509" spans="3:11" ht="13" x14ac:dyDescent="0.15">
      <c r="C509" s="2"/>
      <c r="F509" s="3"/>
      <c r="K509" s="2"/>
    </row>
    <row r="510" spans="3:11" ht="13" x14ac:dyDescent="0.15">
      <c r="C510" s="2"/>
      <c r="F510" s="3"/>
      <c r="K510" s="2"/>
    </row>
    <row r="511" spans="3:11" ht="13" x14ac:dyDescent="0.15">
      <c r="C511" s="2"/>
      <c r="F511" s="3"/>
      <c r="K511" s="2"/>
    </row>
    <row r="512" spans="3:11" ht="13" x14ac:dyDescent="0.15">
      <c r="C512" s="2"/>
      <c r="F512" s="3"/>
      <c r="K512" s="2"/>
    </row>
    <row r="513" spans="3:11" ht="13" x14ac:dyDescent="0.15">
      <c r="C513" s="2"/>
      <c r="F513" s="3"/>
      <c r="K513" s="2"/>
    </row>
    <row r="514" spans="3:11" ht="13" x14ac:dyDescent="0.15">
      <c r="C514" s="2"/>
      <c r="F514" s="3"/>
      <c r="K514" s="2"/>
    </row>
    <row r="515" spans="3:11" ht="13" x14ac:dyDescent="0.15">
      <c r="C515" s="2"/>
      <c r="F515" s="3"/>
      <c r="K515" s="2"/>
    </row>
    <row r="516" spans="3:11" ht="13" x14ac:dyDescent="0.15">
      <c r="C516" s="2"/>
      <c r="F516" s="3"/>
      <c r="K516" s="2"/>
    </row>
    <row r="517" spans="3:11" ht="13" x14ac:dyDescent="0.15">
      <c r="C517" s="2"/>
      <c r="F517" s="3"/>
      <c r="K517" s="2"/>
    </row>
    <row r="518" spans="3:11" ht="13" x14ac:dyDescent="0.15">
      <c r="C518" s="2"/>
      <c r="F518" s="3"/>
      <c r="K518" s="2"/>
    </row>
    <row r="519" spans="3:11" ht="13" x14ac:dyDescent="0.15">
      <c r="C519" s="2"/>
      <c r="F519" s="3"/>
      <c r="K519" s="2"/>
    </row>
    <row r="520" spans="3:11" ht="13" x14ac:dyDescent="0.15">
      <c r="C520" s="2"/>
      <c r="F520" s="3"/>
      <c r="K520" s="2"/>
    </row>
    <row r="521" spans="3:11" ht="13" x14ac:dyDescent="0.15">
      <c r="C521" s="2"/>
      <c r="F521" s="3"/>
      <c r="K521" s="2"/>
    </row>
    <row r="522" spans="3:11" ht="13" x14ac:dyDescent="0.15">
      <c r="C522" s="2"/>
      <c r="F522" s="3"/>
      <c r="K522" s="2"/>
    </row>
    <row r="523" spans="3:11" ht="13" x14ac:dyDescent="0.15">
      <c r="C523" s="2"/>
      <c r="F523" s="3"/>
      <c r="K523" s="2"/>
    </row>
    <row r="524" spans="3:11" ht="13" x14ac:dyDescent="0.15">
      <c r="C524" s="2"/>
      <c r="F524" s="3"/>
      <c r="K524" s="2"/>
    </row>
    <row r="525" spans="3:11" ht="13" x14ac:dyDescent="0.15">
      <c r="C525" s="2"/>
      <c r="F525" s="3"/>
      <c r="K525" s="2"/>
    </row>
    <row r="526" spans="3:11" ht="13" x14ac:dyDescent="0.15">
      <c r="C526" s="2"/>
      <c r="F526" s="3"/>
      <c r="K526" s="2"/>
    </row>
    <row r="527" spans="3:11" ht="13" x14ac:dyDescent="0.15">
      <c r="C527" s="2"/>
      <c r="F527" s="3"/>
      <c r="K527" s="2"/>
    </row>
    <row r="528" spans="3:11" ht="13" x14ac:dyDescent="0.15">
      <c r="C528" s="2"/>
      <c r="F528" s="3"/>
      <c r="K528" s="2"/>
    </row>
    <row r="529" spans="3:11" ht="13" x14ac:dyDescent="0.15">
      <c r="C529" s="2"/>
      <c r="F529" s="3"/>
      <c r="K529" s="2"/>
    </row>
    <row r="530" spans="3:11" ht="13" x14ac:dyDescent="0.15">
      <c r="C530" s="2"/>
      <c r="F530" s="3"/>
      <c r="K530" s="2"/>
    </row>
    <row r="531" spans="3:11" ht="13" x14ac:dyDescent="0.15">
      <c r="C531" s="2"/>
      <c r="F531" s="3"/>
      <c r="K531" s="2"/>
    </row>
    <row r="532" spans="3:11" ht="13" x14ac:dyDescent="0.15">
      <c r="C532" s="2"/>
      <c r="F532" s="3"/>
      <c r="K532" s="2"/>
    </row>
    <row r="533" spans="3:11" ht="13" x14ac:dyDescent="0.15">
      <c r="C533" s="2"/>
      <c r="F533" s="3"/>
      <c r="K533" s="2"/>
    </row>
    <row r="534" spans="3:11" ht="13" x14ac:dyDescent="0.15">
      <c r="C534" s="2"/>
      <c r="F534" s="3"/>
      <c r="K534" s="2"/>
    </row>
    <row r="535" spans="3:11" ht="13" x14ac:dyDescent="0.15">
      <c r="C535" s="2"/>
      <c r="F535" s="3"/>
      <c r="K535" s="2"/>
    </row>
    <row r="536" spans="3:11" ht="13" x14ac:dyDescent="0.15">
      <c r="C536" s="2"/>
      <c r="F536" s="3"/>
      <c r="K536" s="2"/>
    </row>
    <row r="537" spans="3:11" ht="13" x14ac:dyDescent="0.15">
      <c r="C537" s="2"/>
      <c r="F537" s="3"/>
      <c r="K537" s="2"/>
    </row>
    <row r="538" spans="3:11" ht="13" x14ac:dyDescent="0.15">
      <c r="C538" s="2"/>
      <c r="F538" s="3"/>
      <c r="K538" s="2"/>
    </row>
    <row r="539" spans="3:11" ht="13" x14ac:dyDescent="0.15">
      <c r="C539" s="2"/>
      <c r="F539" s="3"/>
      <c r="K539" s="2"/>
    </row>
    <row r="540" spans="3:11" ht="13" x14ac:dyDescent="0.15">
      <c r="C540" s="2"/>
      <c r="F540" s="3"/>
      <c r="K540" s="2"/>
    </row>
    <row r="541" spans="3:11" ht="13" x14ac:dyDescent="0.15">
      <c r="C541" s="2"/>
      <c r="F541" s="3"/>
      <c r="K541" s="2"/>
    </row>
    <row r="542" spans="3:11" ht="13" x14ac:dyDescent="0.15">
      <c r="C542" s="2"/>
      <c r="F542" s="3"/>
      <c r="K542" s="2"/>
    </row>
    <row r="543" spans="3:11" ht="13" x14ac:dyDescent="0.15">
      <c r="C543" s="2"/>
      <c r="F543" s="3"/>
      <c r="K543" s="2"/>
    </row>
    <row r="544" spans="3:11" ht="13" x14ac:dyDescent="0.15">
      <c r="C544" s="2"/>
      <c r="F544" s="3"/>
      <c r="K544" s="2"/>
    </row>
    <row r="545" spans="3:11" ht="13" x14ac:dyDescent="0.15">
      <c r="C545" s="2"/>
      <c r="F545" s="3"/>
      <c r="K545" s="2"/>
    </row>
    <row r="546" spans="3:11" ht="13" x14ac:dyDescent="0.15">
      <c r="C546" s="2"/>
      <c r="F546" s="3"/>
      <c r="K546" s="2"/>
    </row>
    <row r="547" spans="3:11" ht="13" x14ac:dyDescent="0.15">
      <c r="C547" s="2"/>
      <c r="F547" s="3"/>
      <c r="K547" s="2"/>
    </row>
    <row r="548" spans="3:11" ht="13" x14ac:dyDescent="0.15">
      <c r="C548" s="2"/>
      <c r="F548" s="3"/>
      <c r="K548" s="2"/>
    </row>
    <row r="549" spans="3:11" ht="13" x14ac:dyDescent="0.15">
      <c r="C549" s="2"/>
      <c r="F549" s="3"/>
      <c r="K549" s="2"/>
    </row>
    <row r="550" spans="3:11" ht="13" x14ac:dyDescent="0.15">
      <c r="C550" s="2"/>
      <c r="F550" s="3"/>
      <c r="K550" s="2"/>
    </row>
    <row r="551" spans="3:11" ht="13" x14ac:dyDescent="0.15">
      <c r="C551" s="2"/>
      <c r="F551" s="3"/>
      <c r="K551" s="2"/>
    </row>
    <row r="552" spans="3:11" ht="13" x14ac:dyDescent="0.15">
      <c r="C552" s="2"/>
      <c r="F552" s="3"/>
      <c r="K552" s="2"/>
    </row>
    <row r="553" spans="3:11" ht="13" x14ac:dyDescent="0.15">
      <c r="C553" s="2"/>
      <c r="F553" s="3"/>
      <c r="K553" s="2"/>
    </row>
    <row r="554" spans="3:11" ht="13" x14ac:dyDescent="0.15">
      <c r="C554" s="2"/>
      <c r="F554" s="3"/>
      <c r="K554" s="2"/>
    </row>
    <row r="555" spans="3:11" ht="13" x14ac:dyDescent="0.15">
      <c r="C555" s="2"/>
      <c r="F555" s="3"/>
      <c r="K555" s="2"/>
    </row>
    <row r="556" spans="3:11" ht="13" x14ac:dyDescent="0.15">
      <c r="C556" s="2"/>
      <c r="F556" s="3"/>
      <c r="K556" s="2"/>
    </row>
    <row r="557" spans="3:11" ht="13" x14ac:dyDescent="0.15">
      <c r="C557" s="2"/>
      <c r="F557" s="3"/>
      <c r="K557" s="2"/>
    </row>
    <row r="558" spans="3:11" ht="13" x14ac:dyDescent="0.15">
      <c r="C558" s="2"/>
      <c r="F558" s="3"/>
      <c r="K558" s="2"/>
    </row>
    <row r="559" spans="3:11" ht="13" x14ac:dyDescent="0.15">
      <c r="C559" s="2"/>
      <c r="F559" s="3"/>
      <c r="K559" s="2"/>
    </row>
    <row r="560" spans="3:11" ht="13" x14ac:dyDescent="0.15">
      <c r="C560" s="2"/>
      <c r="F560" s="3"/>
      <c r="K560" s="2"/>
    </row>
    <row r="561" spans="3:11" ht="13" x14ac:dyDescent="0.15">
      <c r="C561" s="2"/>
      <c r="F561" s="3"/>
      <c r="K561" s="2"/>
    </row>
    <row r="562" spans="3:11" ht="13" x14ac:dyDescent="0.15">
      <c r="C562" s="2"/>
      <c r="F562" s="3"/>
      <c r="K562" s="2"/>
    </row>
    <row r="563" spans="3:11" ht="13" x14ac:dyDescent="0.15">
      <c r="C563" s="2"/>
      <c r="F563" s="3"/>
      <c r="K563" s="2"/>
    </row>
    <row r="564" spans="3:11" ht="13" x14ac:dyDescent="0.15">
      <c r="C564" s="2"/>
      <c r="F564" s="3"/>
      <c r="K564" s="2"/>
    </row>
    <row r="565" spans="3:11" ht="13" x14ac:dyDescent="0.15">
      <c r="C565" s="2"/>
      <c r="F565" s="3"/>
      <c r="K565" s="2"/>
    </row>
    <row r="566" spans="3:11" ht="13" x14ac:dyDescent="0.15">
      <c r="C566" s="2"/>
      <c r="F566" s="3"/>
      <c r="K566" s="2"/>
    </row>
    <row r="567" spans="3:11" ht="13" x14ac:dyDescent="0.15">
      <c r="C567" s="2"/>
      <c r="F567" s="3"/>
      <c r="K567" s="2"/>
    </row>
    <row r="568" spans="3:11" ht="13" x14ac:dyDescent="0.15">
      <c r="C568" s="2"/>
      <c r="F568" s="3"/>
      <c r="K568" s="2"/>
    </row>
    <row r="569" spans="3:11" ht="13" x14ac:dyDescent="0.15">
      <c r="C569" s="2"/>
      <c r="F569" s="3"/>
      <c r="K569" s="2"/>
    </row>
    <row r="570" spans="3:11" ht="13" x14ac:dyDescent="0.15">
      <c r="C570" s="2"/>
      <c r="F570" s="3"/>
      <c r="K570" s="2"/>
    </row>
    <row r="571" spans="3:11" ht="13" x14ac:dyDescent="0.15">
      <c r="C571" s="2"/>
      <c r="F571" s="3"/>
      <c r="K571" s="2"/>
    </row>
    <row r="572" spans="3:11" ht="13" x14ac:dyDescent="0.15">
      <c r="C572" s="2"/>
      <c r="F572" s="3"/>
      <c r="K572" s="2"/>
    </row>
    <row r="573" spans="3:11" ht="13" x14ac:dyDescent="0.15">
      <c r="C573" s="2"/>
      <c r="F573" s="3"/>
      <c r="K573" s="2"/>
    </row>
    <row r="574" spans="3:11" ht="13" x14ac:dyDescent="0.15">
      <c r="C574" s="2"/>
      <c r="F574" s="3"/>
      <c r="K574" s="2"/>
    </row>
    <row r="575" spans="3:11" ht="13" x14ac:dyDescent="0.15">
      <c r="C575" s="2"/>
      <c r="F575" s="3"/>
      <c r="K575" s="2"/>
    </row>
    <row r="576" spans="3:11" ht="13" x14ac:dyDescent="0.15">
      <c r="C576" s="2"/>
      <c r="F576" s="3"/>
      <c r="K576" s="2"/>
    </row>
    <row r="577" spans="3:11" ht="13" x14ac:dyDescent="0.15">
      <c r="C577" s="2"/>
      <c r="F577" s="3"/>
      <c r="K577" s="2"/>
    </row>
    <row r="578" spans="3:11" ht="13" x14ac:dyDescent="0.15">
      <c r="C578" s="2"/>
      <c r="F578" s="3"/>
      <c r="K578" s="2"/>
    </row>
    <row r="579" spans="3:11" ht="13" x14ac:dyDescent="0.15">
      <c r="C579" s="2"/>
      <c r="F579" s="3"/>
      <c r="K579" s="2"/>
    </row>
    <row r="580" spans="3:11" ht="13" x14ac:dyDescent="0.15">
      <c r="C580" s="2"/>
      <c r="F580" s="3"/>
      <c r="K580" s="2"/>
    </row>
    <row r="581" spans="3:11" ht="13" x14ac:dyDescent="0.15">
      <c r="C581" s="2"/>
      <c r="F581" s="3"/>
      <c r="K581" s="2"/>
    </row>
    <row r="582" spans="3:11" ht="13" x14ac:dyDescent="0.15">
      <c r="C582" s="2"/>
      <c r="F582" s="3"/>
      <c r="K582" s="2"/>
    </row>
    <row r="583" spans="3:11" ht="13" x14ac:dyDescent="0.15">
      <c r="C583" s="2"/>
      <c r="F583" s="3"/>
      <c r="K583" s="2"/>
    </row>
    <row r="584" spans="3:11" ht="13" x14ac:dyDescent="0.15">
      <c r="C584" s="2"/>
      <c r="F584" s="3"/>
      <c r="K584" s="2"/>
    </row>
    <row r="585" spans="3:11" ht="13" x14ac:dyDescent="0.15">
      <c r="C585" s="2"/>
      <c r="F585" s="3"/>
      <c r="K585" s="2"/>
    </row>
    <row r="586" spans="3:11" ht="13" x14ac:dyDescent="0.15">
      <c r="C586" s="2"/>
      <c r="F586" s="3"/>
      <c r="K586" s="2"/>
    </row>
    <row r="587" spans="3:11" ht="13" x14ac:dyDescent="0.15">
      <c r="C587" s="2"/>
      <c r="F587" s="3"/>
      <c r="K587" s="2"/>
    </row>
    <row r="588" spans="3:11" ht="13" x14ac:dyDescent="0.15">
      <c r="C588" s="2"/>
      <c r="F588" s="3"/>
      <c r="K588" s="2"/>
    </row>
    <row r="589" spans="3:11" ht="13" x14ac:dyDescent="0.15">
      <c r="C589" s="2"/>
      <c r="F589" s="3"/>
      <c r="K589" s="2"/>
    </row>
    <row r="590" spans="3:11" ht="13" x14ac:dyDescent="0.15">
      <c r="C590" s="2"/>
      <c r="F590" s="3"/>
      <c r="K590" s="2"/>
    </row>
    <row r="591" spans="3:11" ht="13" x14ac:dyDescent="0.15">
      <c r="C591" s="2"/>
      <c r="F591" s="3"/>
      <c r="K591" s="2"/>
    </row>
    <row r="592" spans="3:11" ht="13" x14ac:dyDescent="0.15">
      <c r="C592" s="2"/>
      <c r="F592" s="3"/>
      <c r="K592" s="2"/>
    </row>
    <row r="593" spans="3:11" ht="13" x14ac:dyDescent="0.15">
      <c r="C593" s="2"/>
      <c r="F593" s="3"/>
      <c r="K593" s="2"/>
    </row>
    <row r="594" spans="3:11" ht="13" x14ac:dyDescent="0.15">
      <c r="C594" s="2"/>
      <c r="F594" s="3"/>
      <c r="K594" s="2"/>
    </row>
    <row r="595" spans="3:11" ht="13" x14ac:dyDescent="0.15">
      <c r="C595" s="2"/>
      <c r="F595" s="3"/>
      <c r="K595" s="2"/>
    </row>
    <row r="596" spans="3:11" ht="13" x14ac:dyDescent="0.15">
      <c r="C596" s="2"/>
      <c r="F596" s="3"/>
      <c r="K596" s="2"/>
    </row>
    <row r="597" spans="3:11" ht="13" x14ac:dyDescent="0.15">
      <c r="C597" s="2"/>
      <c r="F597" s="3"/>
      <c r="K597" s="2"/>
    </row>
    <row r="598" spans="3:11" ht="13" x14ac:dyDescent="0.15">
      <c r="C598" s="2"/>
      <c r="F598" s="3"/>
      <c r="K598" s="2"/>
    </row>
    <row r="599" spans="3:11" ht="13" x14ac:dyDescent="0.15">
      <c r="C599" s="2"/>
      <c r="F599" s="3"/>
      <c r="K599" s="2"/>
    </row>
    <row r="600" spans="3:11" ht="13" x14ac:dyDescent="0.15">
      <c r="C600" s="2"/>
      <c r="F600" s="3"/>
      <c r="K600" s="2"/>
    </row>
    <row r="601" spans="3:11" ht="13" x14ac:dyDescent="0.15">
      <c r="C601" s="2"/>
      <c r="F601" s="3"/>
      <c r="K601" s="2"/>
    </row>
    <row r="602" spans="3:11" ht="13" x14ac:dyDescent="0.15">
      <c r="C602" s="2"/>
      <c r="F602" s="3"/>
      <c r="K602" s="2"/>
    </row>
    <row r="603" spans="3:11" ht="13" x14ac:dyDescent="0.15">
      <c r="C603" s="2"/>
      <c r="F603" s="3"/>
      <c r="K603" s="2"/>
    </row>
    <row r="604" spans="3:11" ht="13" x14ac:dyDescent="0.15">
      <c r="C604" s="2"/>
      <c r="F604" s="3"/>
      <c r="K604" s="2"/>
    </row>
    <row r="605" spans="3:11" ht="13" x14ac:dyDescent="0.15">
      <c r="C605" s="2"/>
      <c r="F605" s="3"/>
      <c r="K605" s="2"/>
    </row>
    <row r="606" spans="3:11" ht="13" x14ac:dyDescent="0.15">
      <c r="C606" s="2"/>
      <c r="F606" s="3"/>
      <c r="K606" s="2"/>
    </row>
    <row r="607" spans="3:11" ht="13" x14ac:dyDescent="0.15">
      <c r="C607" s="2"/>
      <c r="F607" s="3"/>
      <c r="K607" s="2"/>
    </row>
    <row r="608" spans="3:11" ht="13" x14ac:dyDescent="0.15">
      <c r="C608" s="2"/>
      <c r="F608" s="3"/>
      <c r="K608" s="2"/>
    </row>
    <row r="609" spans="3:11" ht="13" x14ac:dyDescent="0.15">
      <c r="C609" s="2"/>
      <c r="F609" s="3"/>
      <c r="K609" s="2"/>
    </row>
    <row r="610" spans="3:11" ht="13" x14ac:dyDescent="0.15">
      <c r="C610" s="2"/>
      <c r="F610" s="3"/>
      <c r="K610" s="2"/>
    </row>
    <row r="611" spans="3:11" ht="13" x14ac:dyDescent="0.15">
      <c r="C611" s="2"/>
      <c r="F611" s="3"/>
      <c r="K611" s="2"/>
    </row>
    <row r="612" spans="3:11" ht="13" x14ac:dyDescent="0.15">
      <c r="C612" s="2"/>
      <c r="F612" s="3"/>
      <c r="K612" s="2"/>
    </row>
    <row r="613" spans="3:11" ht="13" x14ac:dyDescent="0.15">
      <c r="C613" s="2"/>
      <c r="F613" s="3"/>
      <c r="K613" s="2"/>
    </row>
    <row r="614" spans="3:11" ht="13" x14ac:dyDescent="0.15">
      <c r="C614" s="2"/>
      <c r="F614" s="3"/>
      <c r="K614" s="2"/>
    </row>
    <row r="615" spans="3:11" ht="13" x14ac:dyDescent="0.15">
      <c r="C615" s="2"/>
      <c r="F615" s="3"/>
      <c r="K615" s="2"/>
    </row>
    <row r="616" spans="3:11" ht="13" x14ac:dyDescent="0.15">
      <c r="C616" s="2"/>
      <c r="F616" s="3"/>
      <c r="K616" s="2"/>
    </row>
    <row r="617" spans="3:11" ht="13" x14ac:dyDescent="0.15">
      <c r="C617" s="2"/>
      <c r="F617" s="3"/>
      <c r="K617" s="2"/>
    </row>
    <row r="618" spans="3:11" ht="13" x14ac:dyDescent="0.15">
      <c r="C618" s="2"/>
      <c r="F618" s="3"/>
      <c r="K618" s="2"/>
    </row>
    <row r="619" spans="3:11" ht="13" x14ac:dyDescent="0.15">
      <c r="C619" s="2"/>
      <c r="F619" s="3"/>
      <c r="K619" s="2"/>
    </row>
    <row r="620" spans="3:11" ht="13" x14ac:dyDescent="0.15">
      <c r="C620" s="2"/>
      <c r="F620" s="3"/>
      <c r="K620" s="2"/>
    </row>
    <row r="621" spans="3:11" ht="13" x14ac:dyDescent="0.15">
      <c r="C621" s="2"/>
      <c r="F621" s="3"/>
      <c r="K621" s="2"/>
    </row>
    <row r="622" spans="3:11" ht="13" x14ac:dyDescent="0.15">
      <c r="C622" s="2"/>
      <c r="F622" s="3"/>
      <c r="K622" s="2"/>
    </row>
    <row r="623" spans="3:11" ht="13" x14ac:dyDescent="0.15">
      <c r="C623" s="2"/>
      <c r="F623" s="3"/>
      <c r="K623" s="2"/>
    </row>
    <row r="624" spans="3:11" ht="13" x14ac:dyDescent="0.15">
      <c r="C624" s="2"/>
      <c r="F624" s="3"/>
      <c r="K624" s="2"/>
    </row>
    <row r="625" spans="3:11" ht="13" x14ac:dyDescent="0.15">
      <c r="C625" s="2"/>
      <c r="F625" s="3"/>
      <c r="K625" s="2"/>
    </row>
    <row r="626" spans="3:11" ht="13" x14ac:dyDescent="0.15">
      <c r="C626" s="2"/>
      <c r="F626" s="3"/>
      <c r="K626" s="2"/>
    </row>
    <row r="627" spans="3:11" ht="13" x14ac:dyDescent="0.15">
      <c r="C627" s="2"/>
      <c r="F627" s="3"/>
      <c r="K627" s="2"/>
    </row>
    <row r="628" spans="3:11" ht="13" x14ac:dyDescent="0.15">
      <c r="C628" s="2"/>
      <c r="F628" s="3"/>
      <c r="K628" s="2"/>
    </row>
    <row r="629" spans="3:11" ht="13" x14ac:dyDescent="0.15">
      <c r="C629" s="2"/>
      <c r="F629" s="3"/>
      <c r="K629" s="2"/>
    </row>
    <row r="630" spans="3:11" ht="13" x14ac:dyDescent="0.15">
      <c r="C630" s="2"/>
      <c r="F630" s="3"/>
      <c r="K630" s="2"/>
    </row>
    <row r="631" spans="3:11" ht="13" x14ac:dyDescent="0.15">
      <c r="C631" s="2"/>
      <c r="F631" s="3"/>
      <c r="K631" s="2"/>
    </row>
    <row r="632" spans="3:11" ht="13" x14ac:dyDescent="0.15">
      <c r="C632" s="2"/>
      <c r="F632" s="3"/>
      <c r="K632" s="2"/>
    </row>
    <row r="633" spans="3:11" ht="13" x14ac:dyDescent="0.15">
      <c r="C633" s="2"/>
      <c r="F633" s="3"/>
      <c r="K633" s="2"/>
    </row>
    <row r="634" spans="3:11" ht="13" x14ac:dyDescent="0.15">
      <c r="C634" s="2"/>
      <c r="F634" s="3"/>
      <c r="K634" s="2"/>
    </row>
    <row r="635" spans="3:11" ht="13" x14ac:dyDescent="0.15">
      <c r="C635" s="2"/>
      <c r="F635" s="3"/>
      <c r="K635" s="2"/>
    </row>
    <row r="636" spans="3:11" ht="13" x14ac:dyDescent="0.15">
      <c r="C636" s="2"/>
      <c r="F636" s="3"/>
      <c r="K636" s="2"/>
    </row>
    <row r="637" spans="3:11" ht="13" x14ac:dyDescent="0.15">
      <c r="C637" s="2"/>
      <c r="F637" s="3"/>
      <c r="K637" s="2"/>
    </row>
    <row r="638" spans="3:11" ht="13" x14ac:dyDescent="0.15">
      <c r="C638" s="2"/>
      <c r="F638" s="3"/>
      <c r="K638" s="2"/>
    </row>
    <row r="639" spans="3:11" ht="13" x14ac:dyDescent="0.15">
      <c r="C639" s="2"/>
      <c r="F639" s="3"/>
      <c r="K639" s="2"/>
    </row>
    <row r="640" spans="3:11" ht="13" x14ac:dyDescent="0.15">
      <c r="C640" s="2"/>
      <c r="F640" s="3"/>
      <c r="K640" s="2"/>
    </row>
    <row r="641" spans="3:11" ht="13" x14ac:dyDescent="0.15">
      <c r="C641" s="2"/>
      <c r="F641" s="3"/>
      <c r="K641" s="2"/>
    </row>
    <row r="642" spans="3:11" ht="13" x14ac:dyDescent="0.15">
      <c r="C642" s="2"/>
      <c r="F642" s="3"/>
      <c r="K642" s="2"/>
    </row>
    <row r="643" spans="3:11" ht="13" x14ac:dyDescent="0.15">
      <c r="C643" s="2"/>
      <c r="F643" s="3"/>
      <c r="K643" s="2"/>
    </row>
    <row r="644" spans="3:11" ht="13" x14ac:dyDescent="0.15">
      <c r="C644" s="2"/>
      <c r="F644" s="3"/>
      <c r="K644" s="2"/>
    </row>
    <row r="645" spans="3:11" ht="13" x14ac:dyDescent="0.15">
      <c r="C645" s="2"/>
      <c r="F645" s="3"/>
      <c r="K645" s="2"/>
    </row>
    <row r="646" spans="3:11" ht="13" x14ac:dyDescent="0.15">
      <c r="C646" s="2"/>
      <c r="F646" s="3"/>
      <c r="K646" s="2"/>
    </row>
    <row r="647" spans="3:11" ht="13" x14ac:dyDescent="0.15">
      <c r="C647" s="2"/>
      <c r="F647" s="3"/>
      <c r="K647" s="2"/>
    </row>
    <row r="648" spans="3:11" ht="13" x14ac:dyDescent="0.15">
      <c r="C648" s="2"/>
      <c r="F648" s="3"/>
      <c r="K648" s="2"/>
    </row>
    <row r="649" spans="3:11" ht="13" x14ac:dyDescent="0.15">
      <c r="C649" s="2"/>
      <c r="F649" s="3"/>
      <c r="K649" s="2"/>
    </row>
    <row r="650" spans="3:11" ht="13" x14ac:dyDescent="0.15">
      <c r="C650" s="2"/>
      <c r="F650" s="3"/>
      <c r="K650" s="2"/>
    </row>
    <row r="651" spans="3:11" ht="13" x14ac:dyDescent="0.15">
      <c r="C651" s="2"/>
      <c r="F651" s="3"/>
      <c r="K651" s="2"/>
    </row>
    <row r="652" spans="3:11" ht="13" x14ac:dyDescent="0.15">
      <c r="C652" s="2"/>
      <c r="F652" s="3"/>
      <c r="K652" s="2"/>
    </row>
    <row r="653" spans="3:11" ht="13" x14ac:dyDescent="0.15">
      <c r="C653" s="2"/>
      <c r="F653" s="3"/>
      <c r="K653" s="2"/>
    </row>
    <row r="654" spans="3:11" ht="13" x14ac:dyDescent="0.15">
      <c r="C654" s="2"/>
      <c r="F654" s="3"/>
      <c r="K654" s="2"/>
    </row>
    <row r="655" spans="3:11" ht="13" x14ac:dyDescent="0.15">
      <c r="C655" s="2"/>
      <c r="F655" s="3"/>
      <c r="K655" s="2"/>
    </row>
    <row r="656" spans="3:11" ht="13" x14ac:dyDescent="0.15">
      <c r="C656" s="2"/>
      <c r="F656" s="3"/>
      <c r="K656" s="2"/>
    </row>
    <row r="657" spans="3:11" ht="13" x14ac:dyDescent="0.15">
      <c r="C657" s="2"/>
      <c r="F657" s="3"/>
      <c r="K657" s="2"/>
    </row>
    <row r="658" spans="3:11" ht="13" x14ac:dyDescent="0.15">
      <c r="C658" s="2"/>
      <c r="F658" s="3"/>
      <c r="K658" s="2"/>
    </row>
    <row r="659" spans="3:11" ht="13" x14ac:dyDescent="0.15">
      <c r="C659" s="2"/>
      <c r="F659" s="3"/>
      <c r="K659" s="2"/>
    </row>
    <row r="660" spans="3:11" ht="13" x14ac:dyDescent="0.15">
      <c r="C660" s="2"/>
      <c r="F660" s="3"/>
      <c r="K660" s="2"/>
    </row>
    <row r="661" spans="3:11" ht="13" x14ac:dyDescent="0.15">
      <c r="C661" s="2"/>
      <c r="F661" s="3"/>
      <c r="K661" s="2"/>
    </row>
    <row r="662" spans="3:11" ht="13" x14ac:dyDescent="0.15">
      <c r="C662" s="2"/>
      <c r="F662" s="3"/>
      <c r="K662" s="2"/>
    </row>
    <row r="663" spans="3:11" ht="13" x14ac:dyDescent="0.15">
      <c r="C663" s="2"/>
      <c r="F663" s="3"/>
      <c r="K663" s="2"/>
    </row>
    <row r="664" spans="3:11" ht="13" x14ac:dyDescent="0.15">
      <c r="C664" s="2"/>
      <c r="F664" s="3"/>
      <c r="K664" s="2"/>
    </row>
    <row r="665" spans="3:11" ht="13" x14ac:dyDescent="0.15">
      <c r="C665" s="2"/>
      <c r="F665" s="3"/>
      <c r="K665" s="2"/>
    </row>
    <row r="666" spans="3:11" ht="13" x14ac:dyDescent="0.15">
      <c r="C666" s="2"/>
      <c r="F666" s="3"/>
      <c r="K666" s="2"/>
    </row>
    <row r="667" spans="3:11" ht="13" x14ac:dyDescent="0.15">
      <c r="C667" s="2"/>
      <c r="F667" s="3"/>
      <c r="K667" s="2"/>
    </row>
    <row r="668" spans="3:11" ht="13" x14ac:dyDescent="0.15">
      <c r="C668" s="2"/>
      <c r="F668" s="3"/>
      <c r="K668" s="2"/>
    </row>
    <row r="669" spans="3:11" ht="13" x14ac:dyDescent="0.15">
      <c r="C669" s="2"/>
      <c r="F669" s="3"/>
      <c r="K669" s="2"/>
    </row>
    <row r="670" spans="3:11" ht="13" x14ac:dyDescent="0.15">
      <c r="C670" s="2"/>
      <c r="F670" s="3"/>
      <c r="K670" s="2"/>
    </row>
    <row r="671" spans="3:11" ht="13" x14ac:dyDescent="0.15">
      <c r="C671" s="2"/>
      <c r="F671" s="3"/>
      <c r="K671" s="2"/>
    </row>
    <row r="672" spans="3:11" ht="13" x14ac:dyDescent="0.15">
      <c r="C672" s="2"/>
      <c r="F672" s="3"/>
      <c r="K672" s="2"/>
    </row>
    <row r="673" spans="3:11" ht="13" x14ac:dyDescent="0.15">
      <c r="C673" s="2"/>
      <c r="F673" s="3"/>
      <c r="K673" s="2"/>
    </row>
    <row r="674" spans="3:11" ht="13" x14ac:dyDescent="0.15">
      <c r="C674" s="2"/>
      <c r="F674" s="3"/>
      <c r="K674" s="2"/>
    </row>
    <row r="675" spans="3:11" ht="13" x14ac:dyDescent="0.15">
      <c r="C675" s="2"/>
      <c r="F675" s="3"/>
      <c r="K675" s="2"/>
    </row>
    <row r="676" spans="3:11" ht="13" x14ac:dyDescent="0.15">
      <c r="C676" s="2"/>
      <c r="F676" s="3"/>
      <c r="K676" s="2"/>
    </row>
    <row r="677" spans="3:11" ht="13" x14ac:dyDescent="0.15">
      <c r="C677" s="2"/>
      <c r="F677" s="3"/>
      <c r="K677" s="2"/>
    </row>
    <row r="678" spans="3:11" ht="13" x14ac:dyDescent="0.15">
      <c r="C678" s="2"/>
      <c r="F678" s="3"/>
      <c r="K678" s="2"/>
    </row>
    <row r="679" spans="3:11" ht="13" x14ac:dyDescent="0.15">
      <c r="C679" s="2"/>
      <c r="F679" s="3"/>
      <c r="K679" s="2"/>
    </row>
    <row r="680" spans="3:11" ht="13" x14ac:dyDescent="0.15">
      <c r="C680" s="2"/>
      <c r="F680" s="3"/>
      <c r="K680" s="2"/>
    </row>
    <row r="681" spans="3:11" ht="13" x14ac:dyDescent="0.15">
      <c r="C681" s="2"/>
      <c r="F681" s="3"/>
      <c r="K681" s="2"/>
    </row>
    <row r="682" spans="3:11" ht="13" x14ac:dyDescent="0.15">
      <c r="C682" s="2"/>
      <c r="F682" s="3"/>
      <c r="K682" s="2"/>
    </row>
    <row r="683" spans="3:11" ht="13" x14ac:dyDescent="0.15">
      <c r="C683" s="2"/>
      <c r="F683" s="3"/>
      <c r="K683" s="2"/>
    </row>
    <row r="684" spans="3:11" ht="13" x14ac:dyDescent="0.15">
      <c r="C684" s="2"/>
      <c r="F684" s="3"/>
      <c r="K684" s="2"/>
    </row>
    <row r="685" spans="3:11" ht="13" x14ac:dyDescent="0.15">
      <c r="C685" s="2"/>
      <c r="F685" s="3"/>
      <c r="K685" s="2"/>
    </row>
    <row r="686" spans="3:11" ht="13" x14ac:dyDescent="0.15">
      <c r="C686" s="2"/>
      <c r="F686" s="3"/>
      <c r="K686" s="2"/>
    </row>
    <row r="687" spans="3:11" ht="13" x14ac:dyDescent="0.15">
      <c r="C687" s="2"/>
      <c r="F687" s="3"/>
      <c r="K687" s="2"/>
    </row>
    <row r="688" spans="3:11" ht="13" x14ac:dyDescent="0.15">
      <c r="C688" s="2"/>
      <c r="F688" s="3"/>
      <c r="K688" s="2"/>
    </row>
    <row r="689" spans="3:11" ht="13" x14ac:dyDescent="0.15">
      <c r="C689" s="2"/>
      <c r="F689" s="3"/>
      <c r="K689" s="2"/>
    </row>
    <row r="690" spans="3:11" ht="13" x14ac:dyDescent="0.15">
      <c r="C690" s="2"/>
      <c r="F690" s="3"/>
      <c r="K690" s="2"/>
    </row>
    <row r="691" spans="3:11" ht="13" x14ac:dyDescent="0.15">
      <c r="C691" s="2"/>
      <c r="F691" s="3"/>
      <c r="K691" s="2"/>
    </row>
    <row r="692" spans="3:11" ht="13" x14ac:dyDescent="0.15">
      <c r="C692" s="2"/>
      <c r="F692" s="3"/>
      <c r="K692" s="2"/>
    </row>
    <row r="693" spans="3:11" ht="13" x14ac:dyDescent="0.15">
      <c r="C693" s="2"/>
      <c r="F693" s="3"/>
      <c r="K693" s="2"/>
    </row>
    <row r="694" spans="3:11" ht="13" x14ac:dyDescent="0.15">
      <c r="C694" s="2"/>
      <c r="F694" s="3"/>
      <c r="K694" s="2"/>
    </row>
    <row r="695" spans="3:11" ht="13" x14ac:dyDescent="0.15">
      <c r="C695" s="2"/>
      <c r="F695" s="3"/>
      <c r="K695" s="2"/>
    </row>
    <row r="696" spans="3:11" ht="13" x14ac:dyDescent="0.15">
      <c r="C696" s="2"/>
      <c r="F696" s="3"/>
      <c r="K696" s="2"/>
    </row>
    <row r="697" spans="3:11" ht="13" x14ac:dyDescent="0.15">
      <c r="C697" s="2"/>
      <c r="F697" s="3"/>
      <c r="K697" s="2"/>
    </row>
    <row r="698" spans="3:11" ht="13" x14ac:dyDescent="0.15">
      <c r="C698" s="2"/>
      <c r="F698" s="3"/>
      <c r="K698" s="2"/>
    </row>
    <row r="699" spans="3:11" ht="13" x14ac:dyDescent="0.15">
      <c r="C699" s="2"/>
      <c r="F699" s="3"/>
      <c r="K699" s="2"/>
    </row>
    <row r="700" spans="3:11" ht="13" x14ac:dyDescent="0.15">
      <c r="C700" s="2"/>
      <c r="F700" s="3"/>
      <c r="K700" s="2"/>
    </row>
    <row r="701" spans="3:11" ht="13" x14ac:dyDescent="0.15">
      <c r="C701" s="2"/>
      <c r="F701" s="3"/>
      <c r="K701" s="2"/>
    </row>
    <row r="702" spans="3:11" ht="13" x14ac:dyDescent="0.15">
      <c r="C702" s="2"/>
      <c r="F702" s="3"/>
      <c r="K702" s="2"/>
    </row>
    <row r="703" spans="3:11" ht="13" x14ac:dyDescent="0.15">
      <c r="C703" s="2"/>
      <c r="F703" s="3"/>
      <c r="K703" s="2"/>
    </row>
    <row r="704" spans="3:11" ht="13" x14ac:dyDescent="0.15">
      <c r="C704" s="2"/>
      <c r="F704" s="3"/>
      <c r="K704" s="2"/>
    </row>
    <row r="705" spans="3:11" ht="13" x14ac:dyDescent="0.15">
      <c r="C705" s="2"/>
      <c r="F705" s="3"/>
      <c r="K705" s="2"/>
    </row>
    <row r="706" spans="3:11" ht="13" x14ac:dyDescent="0.15">
      <c r="C706" s="2"/>
      <c r="F706" s="3"/>
      <c r="K706" s="2"/>
    </row>
    <row r="707" spans="3:11" ht="13" x14ac:dyDescent="0.15">
      <c r="C707" s="2"/>
      <c r="F707" s="3"/>
      <c r="K707" s="2"/>
    </row>
    <row r="708" spans="3:11" ht="13" x14ac:dyDescent="0.15">
      <c r="C708" s="2"/>
      <c r="F708" s="3"/>
      <c r="K708" s="2"/>
    </row>
    <row r="709" spans="3:11" ht="13" x14ac:dyDescent="0.15">
      <c r="C709" s="2"/>
      <c r="F709" s="3"/>
      <c r="K709" s="2"/>
    </row>
    <row r="710" spans="3:11" ht="13" x14ac:dyDescent="0.15">
      <c r="C710" s="2"/>
      <c r="F710" s="3"/>
      <c r="K710" s="2"/>
    </row>
    <row r="711" spans="3:11" ht="13" x14ac:dyDescent="0.15">
      <c r="C711" s="2"/>
      <c r="F711" s="3"/>
      <c r="K711" s="2"/>
    </row>
    <row r="712" spans="3:11" ht="13" x14ac:dyDescent="0.15">
      <c r="C712" s="2"/>
      <c r="F712" s="3"/>
      <c r="K712" s="2"/>
    </row>
    <row r="713" spans="3:11" ht="13" x14ac:dyDescent="0.15">
      <c r="C713" s="2"/>
      <c r="F713" s="3"/>
      <c r="K713" s="2"/>
    </row>
    <row r="714" spans="3:11" ht="13" x14ac:dyDescent="0.15">
      <c r="C714" s="2"/>
      <c r="F714" s="3"/>
      <c r="K714" s="2"/>
    </row>
    <row r="715" spans="3:11" ht="13" x14ac:dyDescent="0.15">
      <c r="C715" s="2"/>
      <c r="F715" s="3"/>
      <c r="K715" s="2"/>
    </row>
    <row r="716" spans="3:11" ht="13" x14ac:dyDescent="0.15">
      <c r="C716" s="2"/>
      <c r="F716" s="3"/>
      <c r="K716" s="2"/>
    </row>
    <row r="717" spans="3:11" ht="13" x14ac:dyDescent="0.15">
      <c r="C717" s="2"/>
      <c r="F717" s="3"/>
      <c r="K717" s="2"/>
    </row>
    <row r="718" spans="3:11" ht="13" x14ac:dyDescent="0.15">
      <c r="C718" s="2"/>
      <c r="F718" s="3"/>
      <c r="K718" s="2"/>
    </row>
    <row r="719" spans="3:11" ht="13" x14ac:dyDescent="0.15">
      <c r="C719" s="2"/>
      <c r="F719" s="3"/>
      <c r="K719" s="2"/>
    </row>
    <row r="720" spans="3:11" ht="13" x14ac:dyDescent="0.15">
      <c r="C720" s="2"/>
      <c r="F720" s="3"/>
      <c r="K720" s="2"/>
    </row>
    <row r="721" spans="3:11" ht="13" x14ac:dyDescent="0.15">
      <c r="C721" s="2"/>
      <c r="F721" s="3"/>
      <c r="K721" s="2"/>
    </row>
    <row r="722" spans="3:11" ht="13" x14ac:dyDescent="0.15">
      <c r="C722" s="2"/>
      <c r="F722" s="3"/>
      <c r="K722" s="2"/>
    </row>
    <row r="723" spans="3:11" ht="13" x14ac:dyDescent="0.15">
      <c r="C723" s="2"/>
      <c r="F723" s="3"/>
      <c r="K723" s="2"/>
    </row>
    <row r="724" spans="3:11" ht="13" x14ac:dyDescent="0.15">
      <c r="C724" s="2"/>
      <c r="F724" s="3"/>
      <c r="K724" s="2"/>
    </row>
    <row r="725" spans="3:11" ht="13" x14ac:dyDescent="0.15">
      <c r="C725" s="2"/>
      <c r="F725" s="3"/>
      <c r="K725" s="2"/>
    </row>
    <row r="726" spans="3:11" ht="13" x14ac:dyDescent="0.15">
      <c r="C726" s="2"/>
      <c r="F726" s="3"/>
      <c r="K726" s="2"/>
    </row>
    <row r="727" spans="3:11" ht="13" x14ac:dyDescent="0.15">
      <c r="C727" s="2"/>
      <c r="F727" s="3"/>
      <c r="K727" s="2"/>
    </row>
    <row r="728" spans="3:11" ht="13" x14ac:dyDescent="0.15">
      <c r="C728" s="2"/>
      <c r="F728" s="3"/>
      <c r="K728" s="2"/>
    </row>
    <row r="729" spans="3:11" ht="13" x14ac:dyDescent="0.15">
      <c r="C729" s="2"/>
      <c r="F729" s="3"/>
      <c r="K729" s="2"/>
    </row>
    <row r="730" spans="3:11" ht="13" x14ac:dyDescent="0.15">
      <c r="C730" s="2"/>
      <c r="F730" s="3"/>
      <c r="K730" s="2"/>
    </row>
    <row r="731" spans="3:11" ht="13" x14ac:dyDescent="0.15">
      <c r="C731" s="2"/>
      <c r="F731" s="3"/>
      <c r="K731" s="2"/>
    </row>
    <row r="732" spans="3:11" ht="13" x14ac:dyDescent="0.15">
      <c r="C732" s="2"/>
      <c r="F732" s="3"/>
      <c r="K732" s="2"/>
    </row>
    <row r="733" spans="3:11" ht="13" x14ac:dyDescent="0.15">
      <c r="C733" s="2"/>
      <c r="F733" s="3"/>
      <c r="K733" s="2"/>
    </row>
    <row r="734" spans="3:11" ht="13" x14ac:dyDescent="0.15">
      <c r="C734" s="2"/>
      <c r="F734" s="3"/>
      <c r="K734" s="2"/>
    </row>
    <row r="735" spans="3:11" ht="13" x14ac:dyDescent="0.15">
      <c r="C735" s="2"/>
      <c r="F735" s="3"/>
      <c r="K735" s="2"/>
    </row>
    <row r="736" spans="3:11" ht="13" x14ac:dyDescent="0.15">
      <c r="C736" s="2"/>
      <c r="F736" s="3"/>
      <c r="K736" s="2"/>
    </row>
    <row r="737" spans="3:11" ht="13" x14ac:dyDescent="0.15">
      <c r="C737" s="2"/>
      <c r="F737" s="3"/>
      <c r="K737" s="2"/>
    </row>
    <row r="738" spans="3:11" ht="13" x14ac:dyDescent="0.15">
      <c r="C738" s="2"/>
      <c r="F738" s="3"/>
      <c r="K738" s="2"/>
    </row>
    <row r="739" spans="3:11" ht="13" x14ac:dyDescent="0.15">
      <c r="C739" s="2"/>
      <c r="F739" s="3"/>
      <c r="K739" s="2"/>
    </row>
    <row r="740" spans="3:11" ht="13" x14ac:dyDescent="0.15">
      <c r="C740" s="2"/>
      <c r="F740" s="3"/>
      <c r="K740" s="2"/>
    </row>
    <row r="741" spans="3:11" ht="13" x14ac:dyDescent="0.15">
      <c r="C741" s="2"/>
      <c r="F741" s="3"/>
      <c r="K741" s="2"/>
    </row>
    <row r="742" spans="3:11" ht="13" x14ac:dyDescent="0.15">
      <c r="C742" s="2"/>
      <c r="F742" s="3"/>
      <c r="K742" s="2"/>
    </row>
    <row r="743" spans="3:11" ht="13" x14ac:dyDescent="0.15">
      <c r="C743" s="2"/>
      <c r="F743" s="3"/>
      <c r="K743" s="2"/>
    </row>
    <row r="744" spans="3:11" ht="13" x14ac:dyDescent="0.15">
      <c r="C744" s="2"/>
      <c r="F744" s="3"/>
      <c r="K744" s="2"/>
    </row>
    <row r="745" spans="3:11" ht="13" x14ac:dyDescent="0.15">
      <c r="C745" s="2"/>
      <c r="F745" s="3"/>
      <c r="K745" s="2"/>
    </row>
    <row r="746" spans="3:11" ht="13" x14ac:dyDescent="0.15">
      <c r="C746" s="2"/>
      <c r="F746" s="3"/>
      <c r="K746" s="2"/>
    </row>
    <row r="747" spans="3:11" ht="13" x14ac:dyDescent="0.15">
      <c r="C747" s="2"/>
      <c r="F747" s="3"/>
      <c r="K747" s="2"/>
    </row>
    <row r="748" spans="3:11" ht="13" x14ac:dyDescent="0.15">
      <c r="C748" s="2"/>
      <c r="F748" s="3"/>
      <c r="K748" s="2"/>
    </row>
    <row r="749" spans="3:11" ht="13" x14ac:dyDescent="0.15">
      <c r="C749" s="2"/>
      <c r="F749" s="3"/>
      <c r="K749" s="2"/>
    </row>
    <row r="750" spans="3:11" ht="13" x14ac:dyDescent="0.15">
      <c r="C750" s="2"/>
      <c r="F750" s="3"/>
      <c r="K750" s="2"/>
    </row>
    <row r="751" spans="3:11" ht="13" x14ac:dyDescent="0.15">
      <c r="C751" s="2"/>
      <c r="F751" s="3"/>
      <c r="K751" s="2"/>
    </row>
    <row r="752" spans="3:11" ht="13" x14ac:dyDescent="0.15">
      <c r="C752" s="2"/>
      <c r="F752" s="3"/>
      <c r="K752" s="2"/>
    </row>
    <row r="753" spans="3:11" ht="13" x14ac:dyDescent="0.15">
      <c r="C753" s="2"/>
      <c r="F753" s="3"/>
      <c r="K753" s="2"/>
    </row>
    <row r="754" spans="3:11" ht="13" x14ac:dyDescent="0.15">
      <c r="C754" s="2"/>
      <c r="F754" s="3"/>
      <c r="K754" s="2"/>
    </row>
    <row r="755" spans="3:11" ht="13" x14ac:dyDescent="0.15">
      <c r="C755" s="2"/>
      <c r="F755" s="3"/>
      <c r="K755" s="2"/>
    </row>
    <row r="756" spans="3:11" ht="13" x14ac:dyDescent="0.15">
      <c r="C756" s="2"/>
      <c r="F756" s="3"/>
      <c r="K756" s="2"/>
    </row>
    <row r="757" spans="3:11" ht="13" x14ac:dyDescent="0.15">
      <c r="C757" s="2"/>
      <c r="F757" s="3"/>
      <c r="K757" s="2"/>
    </row>
    <row r="758" spans="3:11" ht="13" x14ac:dyDescent="0.15">
      <c r="C758" s="2"/>
      <c r="F758" s="3"/>
      <c r="K758" s="2"/>
    </row>
    <row r="759" spans="3:11" ht="13" x14ac:dyDescent="0.15">
      <c r="C759" s="2"/>
      <c r="F759" s="3"/>
      <c r="K759" s="2"/>
    </row>
    <row r="760" spans="3:11" ht="13" x14ac:dyDescent="0.15">
      <c r="C760" s="2"/>
      <c r="F760" s="3"/>
      <c r="K760" s="2"/>
    </row>
    <row r="761" spans="3:11" ht="13" x14ac:dyDescent="0.15">
      <c r="C761" s="2"/>
      <c r="F761" s="3"/>
      <c r="K761" s="2"/>
    </row>
    <row r="762" spans="3:11" ht="13" x14ac:dyDescent="0.15">
      <c r="C762" s="2"/>
      <c r="F762" s="3"/>
      <c r="K762" s="2"/>
    </row>
    <row r="763" spans="3:11" ht="13" x14ac:dyDescent="0.15">
      <c r="C763" s="2"/>
      <c r="F763" s="3"/>
      <c r="K763" s="2"/>
    </row>
    <row r="764" spans="3:11" ht="13" x14ac:dyDescent="0.15">
      <c r="C764" s="2"/>
      <c r="F764" s="3"/>
      <c r="K764" s="2"/>
    </row>
    <row r="765" spans="3:11" ht="13" x14ac:dyDescent="0.15">
      <c r="C765" s="2"/>
      <c r="F765" s="3"/>
      <c r="K765" s="2"/>
    </row>
    <row r="766" spans="3:11" ht="13" x14ac:dyDescent="0.15">
      <c r="C766" s="2"/>
      <c r="F766" s="3"/>
      <c r="K766" s="2"/>
    </row>
    <row r="767" spans="3:11" ht="13" x14ac:dyDescent="0.15">
      <c r="C767" s="2"/>
      <c r="F767" s="3"/>
      <c r="K767" s="2"/>
    </row>
    <row r="768" spans="3:11" ht="13" x14ac:dyDescent="0.15">
      <c r="C768" s="2"/>
      <c r="F768" s="3"/>
      <c r="K768" s="2"/>
    </row>
    <row r="769" spans="3:11" ht="13" x14ac:dyDescent="0.15">
      <c r="C769" s="2"/>
      <c r="F769" s="3"/>
      <c r="K769" s="2"/>
    </row>
    <row r="770" spans="3:11" ht="13" x14ac:dyDescent="0.15">
      <c r="C770" s="2"/>
      <c r="F770" s="3"/>
      <c r="K770" s="2"/>
    </row>
    <row r="771" spans="3:11" ht="13" x14ac:dyDescent="0.15">
      <c r="C771" s="2"/>
      <c r="F771" s="3"/>
      <c r="K771" s="2"/>
    </row>
    <row r="772" spans="3:11" ht="13" x14ac:dyDescent="0.15">
      <c r="C772" s="2"/>
      <c r="F772" s="3"/>
      <c r="K772" s="2"/>
    </row>
    <row r="773" spans="3:11" ht="13" x14ac:dyDescent="0.15">
      <c r="C773" s="2"/>
      <c r="F773" s="3"/>
      <c r="K773" s="2"/>
    </row>
    <row r="774" spans="3:11" ht="13" x14ac:dyDescent="0.15">
      <c r="C774" s="2"/>
      <c r="F774" s="3"/>
      <c r="K774" s="2"/>
    </row>
    <row r="775" spans="3:11" ht="13" x14ac:dyDescent="0.15">
      <c r="C775" s="2"/>
      <c r="F775" s="3"/>
      <c r="K775" s="2"/>
    </row>
    <row r="776" spans="3:11" ht="13" x14ac:dyDescent="0.15">
      <c r="C776" s="2"/>
      <c r="F776" s="3"/>
      <c r="K776" s="2"/>
    </row>
    <row r="777" spans="3:11" ht="13" x14ac:dyDescent="0.15">
      <c r="C777" s="2"/>
      <c r="F777" s="3"/>
      <c r="K777" s="2"/>
    </row>
    <row r="778" spans="3:11" ht="13" x14ac:dyDescent="0.15">
      <c r="C778" s="2"/>
      <c r="F778" s="3"/>
      <c r="K778" s="2"/>
    </row>
    <row r="779" spans="3:11" ht="13" x14ac:dyDescent="0.15">
      <c r="C779" s="2"/>
      <c r="F779" s="3"/>
      <c r="K779" s="2"/>
    </row>
    <row r="780" spans="3:11" ht="13" x14ac:dyDescent="0.15">
      <c r="C780" s="2"/>
      <c r="F780" s="3"/>
      <c r="K780" s="2"/>
    </row>
    <row r="781" spans="3:11" ht="13" x14ac:dyDescent="0.15">
      <c r="C781" s="2"/>
      <c r="F781" s="3"/>
      <c r="K781" s="2"/>
    </row>
    <row r="782" spans="3:11" ht="13" x14ac:dyDescent="0.15">
      <c r="C782" s="2"/>
      <c r="F782" s="3"/>
      <c r="K782" s="2"/>
    </row>
    <row r="783" spans="3:11" ht="13" x14ac:dyDescent="0.15">
      <c r="C783" s="2"/>
      <c r="F783" s="3"/>
      <c r="K783" s="2"/>
    </row>
    <row r="784" spans="3:11" ht="13" x14ac:dyDescent="0.15">
      <c r="C784" s="2"/>
      <c r="F784" s="3"/>
      <c r="K784" s="2"/>
    </row>
    <row r="785" spans="3:11" ht="13" x14ac:dyDescent="0.15">
      <c r="C785" s="2"/>
      <c r="F785" s="3"/>
      <c r="K785" s="2"/>
    </row>
    <row r="786" spans="3:11" ht="13" x14ac:dyDescent="0.15">
      <c r="C786" s="2"/>
      <c r="F786" s="3"/>
      <c r="K786" s="2"/>
    </row>
    <row r="787" spans="3:11" ht="13" x14ac:dyDescent="0.15">
      <c r="C787" s="2"/>
      <c r="F787" s="3"/>
      <c r="K787" s="2"/>
    </row>
    <row r="788" spans="3:11" ht="13" x14ac:dyDescent="0.15">
      <c r="C788" s="2"/>
      <c r="F788" s="3"/>
      <c r="K788" s="2"/>
    </row>
    <row r="789" spans="3:11" ht="13" x14ac:dyDescent="0.15">
      <c r="C789" s="2"/>
      <c r="F789" s="3"/>
      <c r="K789" s="2"/>
    </row>
    <row r="790" spans="3:11" ht="13" x14ac:dyDescent="0.15">
      <c r="C790" s="2"/>
      <c r="F790" s="3"/>
      <c r="K790" s="2"/>
    </row>
    <row r="791" spans="3:11" ht="13" x14ac:dyDescent="0.15">
      <c r="C791" s="2"/>
      <c r="F791" s="3"/>
      <c r="K791" s="2"/>
    </row>
    <row r="792" spans="3:11" ht="13" x14ac:dyDescent="0.15">
      <c r="C792" s="2"/>
      <c r="F792" s="3"/>
      <c r="K792" s="2"/>
    </row>
    <row r="793" spans="3:11" ht="13" x14ac:dyDescent="0.15">
      <c r="C793" s="2"/>
      <c r="F793" s="3"/>
      <c r="K793" s="2"/>
    </row>
    <row r="794" spans="3:11" ht="13" x14ac:dyDescent="0.15">
      <c r="C794" s="2"/>
      <c r="F794" s="3"/>
      <c r="K794" s="2"/>
    </row>
    <row r="795" spans="3:11" ht="13" x14ac:dyDescent="0.15">
      <c r="C795" s="2"/>
      <c r="F795" s="3"/>
      <c r="K795" s="2"/>
    </row>
    <row r="796" spans="3:11" ht="13" x14ac:dyDescent="0.15">
      <c r="C796" s="2"/>
      <c r="F796" s="3"/>
      <c r="K796" s="2"/>
    </row>
    <row r="797" spans="3:11" ht="13" x14ac:dyDescent="0.15">
      <c r="C797" s="2"/>
      <c r="F797" s="3"/>
      <c r="K797" s="2"/>
    </row>
    <row r="798" spans="3:11" ht="13" x14ac:dyDescent="0.15">
      <c r="C798" s="2"/>
      <c r="F798" s="3"/>
      <c r="K798" s="2"/>
    </row>
    <row r="799" spans="3:11" ht="13" x14ac:dyDescent="0.15">
      <c r="C799" s="2"/>
      <c r="F799" s="3"/>
      <c r="K799" s="2"/>
    </row>
    <row r="800" spans="3:11" ht="13" x14ac:dyDescent="0.15">
      <c r="C800" s="2"/>
      <c r="F800" s="3"/>
      <c r="K800" s="2"/>
    </row>
    <row r="801" spans="3:11" ht="13" x14ac:dyDescent="0.15">
      <c r="C801" s="2"/>
      <c r="F801" s="3"/>
      <c r="K801" s="2"/>
    </row>
    <row r="802" spans="3:11" ht="13" x14ac:dyDescent="0.15">
      <c r="C802" s="2"/>
      <c r="F802" s="3"/>
      <c r="K802" s="2"/>
    </row>
    <row r="803" spans="3:11" ht="13" x14ac:dyDescent="0.15">
      <c r="C803" s="2"/>
      <c r="F803" s="3"/>
      <c r="K803" s="2"/>
    </row>
    <row r="804" spans="3:11" ht="13" x14ac:dyDescent="0.15">
      <c r="C804" s="2"/>
      <c r="F804" s="3"/>
      <c r="K804" s="2"/>
    </row>
    <row r="805" spans="3:11" ht="13" x14ac:dyDescent="0.15">
      <c r="C805" s="2"/>
      <c r="F805" s="3"/>
      <c r="K805" s="2"/>
    </row>
    <row r="806" spans="3:11" ht="13" x14ac:dyDescent="0.15">
      <c r="C806" s="2"/>
      <c r="F806" s="3"/>
      <c r="K806" s="2"/>
    </row>
    <row r="807" spans="3:11" ht="13" x14ac:dyDescent="0.15">
      <c r="C807" s="2"/>
      <c r="F807" s="3"/>
      <c r="K807" s="2"/>
    </row>
    <row r="808" spans="3:11" ht="13" x14ac:dyDescent="0.15">
      <c r="C808" s="2"/>
      <c r="F808" s="3"/>
      <c r="K808" s="2"/>
    </row>
    <row r="809" spans="3:11" ht="13" x14ac:dyDescent="0.15">
      <c r="C809" s="2"/>
      <c r="F809" s="3"/>
      <c r="K809" s="2"/>
    </row>
    <row r="810" spans="3:11" ht="13" x14ac:dyDescent="0.15">
      <c r="C810" s="2"/>
      <c r="F810" s="3"/>
      <c r="K810" s="2"/>
    </row>
    <row r="811" spans="3:11" ht="13" x14ac:dyDescent="0.15">
      <c r="C811" s="2"/>
      <c r="F811" s="3"/>
      <c r="K811" s="2"/>
    </row>
    <row r="812" spans="3:11" ht="13" x14ac:dyDescent="0.15">
      <c r="C812" s="2"/>
      <c r="F812" s="3"/>
      <c r="K812" s="2"/>
    </row>
    <row r="813" spans="3:11" ht="13" x14ac:dyDescent="0.15">
      <c r="C813" s="2"/>
      <c r="F813" s="3"/>
      <c r="K813" s="2"/>
    </row>
    <row r="814" spans="3:11" ht="13" x14ac:dyDescent="0.15">
      <c r="C814" s="2"/>
      <c r="F814" s="3"/>
      <c r="K814" s="2"/>
    </row>
    <row r="815" spans="3:11" ht="13" x14ac:dyDescent="0.15">
      <c r="C815" s="2"/>
      <c r="F815" s="3"/>
      <c r="K815" s="2"/>
    </row>
    <row r="816" spans="3:11" ht="13" x14ac:dyDescent="0.15">
      <c r="C816" s="2"/>
      <c r="F816" s="3"/>
      <c r="K816" s="2"/>
    </row>
    <row r="817" spans="3:11" ht="13" x14ac:dyDescent="0.15">
      <c r="C817" s="2"/>
      <c r="F817" s="3"/>
      <c r="K817" s="2"/>
    </row>
    <row r="818" spans="3:11" ht="13" x14ac:dyDescent="0.15">
      <c r="C818" s="2"/>
      <c r="F818" s="3"/>
      <c r="K818" s="2"/>
    </row>
    <row r="819" spans="3:11" ht="13" x14ac:dyDescent="0.15">
      <c r="C819" s="2"/>
      <c r="F819" s="3"/>
      <c r="K819" s="2"/>
    </row>
    <row r="820" spans="3:11" ht="13" x14ac:dyDescent="0.15">
      <c r="C820" s="2"/>
      <c r="F820" s="3"/>
      <c r="K820" s="2"/>
    </row>
    <row r="821" spans="3:11" ht="13" x14ac:dyDescent="0.15">
      <c r="C821" s="2"/>
      <c r="F821" s="3"/>
      <c r="K821" s="2"/>
    </row>
    <row r="822" spans="3:11" ht="13" x14ac:dyDescent="0.15">
      <c r="C822" s="2"/>
      <c r="F822" s="3"/>
      <c r="K822" s="2"/>
    </row>
    <row r="823" spans="3:11" ht="13" x14ac:dyDescent="0.15">
      <c r="C823" s="2"/>
      <c r="F823" s="3"/>
      <c r="K823" s="2"/>
    </row>
    <row r="824" spans="3:11" ht="13" x14ac:dyDescent="0.15">
      <c r="C824" s="2"/>
      <c r="F824" s="3"/>
      <c r="K824" s="2"/>
    </row>
    <row r="825" spans="3:11" ht="13" x14ac:dyDescent="0.15">
      <c r="C825" s="2"/>
      <c r="F825" s="3"/>
      <c r="K825" s="2"/>
    </row>
    <row r="826" spans="3:11" ht="13" x14ac:dyDescent="0.15">
      <c r="C826" s="2"/>
      <c r="F826" s="3"/>
      <c r="K826" s="2"/>
    </row>
    <row r="827" spans="3:11" ht="13" x14ac:dyDescent="0.15">
      <c r="C827" s="2"/>
      <c r="F827" s="3"/>
      <c r="K827" s="2"/>
    </row>
    <row r="828" spans="3:11" ht="13" x14ac:dyDescent="0.15">
      <c r="C828" s="2"/>
      <c r="F828" s="3"/>
      <c r="K828" s="2"/>
    </row>
    <row r="829" spans="3:11" ht="13" x14ac:dyDescent="0.15">
      <c r="C829" s="2"/>
      <c r="F829" s="3"/>
      <c r="K829" s="2"/>
    </row>
    <row r="830" spans="3:11" ht="13" x14ac:dyDescent="0.15">
      <c r="C830" s="2"/>
      <c r="F830" s="3"/>
      <c r="K830" s="2"/>
    </row>
    <row r="831" spans="3:11" ht="13" x14ac:dyDescent="0.15">
      <c r="C831" s="2"/>
      <c r="F831" s="3"/>
      <c r="K831" s="2"/>
    </row>
    <row r="832" spans="3:11" ht="13" x14ac:dyDescent="0.15">
      <c r="C832" s="2"/>
      <c r="F832" s="3"/>
      <c r="K832" s="2"/>
    </row>
    <row r="833" spans="3:11" ht="13" x14ac:dyDescent="0.15">
      <c r="C833" s="2"/>
      <c r="F833" s="3"/>
      <c r="K833" s="2"/>
    </row>
    <row r="834" spans="3:11" ht="13" x14ac:dyDescent="0.15">
      <c r="C834" s="2"/>
      <c r="F834" s="3"/>
      <c r="K834" s="2"/>
    </row>
    <row r="835" spans="3:11" ht="13" x14ac:dyDescent="0.15">
      <c r="C835" s="2"/>
      <c r="F835" s="3"/>
      <c r="K835" s="2"/>
    </row>
    <row r="836" spans="3:11" ht="13" x14ac:dyDescent="0.15">
      <c r="C836" s="2"/>
      <c r="F836" s="3"/>
      <c r="K836" s="2"/>
    </row>
    <row r="837" spans="3:11" ht="13" x14ac:dyDescent="0.15">
      <c r="C837" s="2"/>
      <c r="F837" s="3"/>
      <c r="K837" s="2"/>
    </row>
    <row r="838" spans="3:11" ht="13" x14ac:dyDescent="0.15">
      <c r="C838" s="2"/>
      <c r="F838" s="3"/>
      <c r="K838" s="2"/>
    </row>
    <row r="839" spans="3:11" ht="13" x14ac:dyDescent="0.15">
      <c r="C839" s="2"/>
      <c r="F839" s="3"/>
      <c r="K839" s="2"/>
    </row>
    <row r="840" spans="3:11" ht="13" x14ac:dyDescent="0.15">
      <c r="C840" s="2"/>
      <c r="F840" s="3"/>
      <c r="K840" s="2"/>
    </row>
    <row r="841" spans="3:11" ht="13" x14ac:dyDescent="0.15">
      <c r="C841" s="2"/>
      <c r="F841" s="3"/>
      <c r="K841" s="2"/>
    </row>
    <row r="842" spans="3:11" ht="13" x14ac:dyDescent="0.15">
      <c r="C842" s="2"/>
      <c r="F842" s="3"/>
      <c r="K842" s="2"/>
    </row>
    <row r="843" spans="3:11" ht="13" x14ac:dyDescent="0.15">
      <c r="C843" s="2"/>
      <c r="F843" s="3"/>
      <c r="K843" s="2"/>
    </row>
    <row r="844" spans="3:11" ht="13" x14ac:dyDescent="0.15">
      <c r="C844" s="2"/>
      <c r="F844" s="3"/>
      <c r="K844" s="2"/>
    </row>
    <row r="845" spans="3:11" ht="13" x14ac:dyDescent="0.15">
      <c r="C845" s="2"/>
      <c r="F845" s="3"/>
      <c r="K845" s="2"/>
    </row>
    <row r="846" spans="3:11" ht="13" x14ac:dyDescent="0.15">
      <c r="C846" s="2"/>
      <c r="F846" s="3"/>
      <c r="K846" s="2"/>
    </row>
    <row r="847" spans="3:11" ht="13" x14ac:dyDescent="0.15">
      <c r="C847" s="2"/>
      <c r="F847" s="3"/>
      <c r="K847" s="2"/>
    </row>
    <row r="848" spans="3:11" ht="13" x14ac:dyDescent="0.15">
      <c r="C848" s="2"/>
      <c r="F848" s="3"/>
      <c r="K848" s="2"/>
    </row>
    <row r="849" spans="3:11" ht="13" x14ac:dyDescent="0.15">
      <c r="C849" s="2"/>
      <c r="F849" s="3"/>
      <c r="K849" s="2"/>
    </row>
    <row r="850" spans="3:11" ht="13" x14ac:dyDescent="0.15">
      <c r="C850" s="2"/>
      <c r="F850" s="3"/>
      <c r="K850" s="2"/>
    </row>
    <row r="851" spans="3:11" ht="13" x14ac:dyDescent="0.15">
      <c r="C851" s="2"/>
      <c r="F851" s="3"/>
      <c r="K851" s="2"/>
    </row>
    <row r="852" spans="3:11" ht="13" x14ac:dyDescent="0.15">
      <c r="C852" s="2"/>
      <c r="F852" s="3"/>
      <c r="K852" s="2"/>
    </row>
    <row r="853" spans="3:11" ht="13" x14ac:dyDescent="0.15">
      <c r="C853" s="2"/>
      <c r="F853" s="3"/>
      <c r="K853" s="2"/>
    </row>
    <row r="854" spans="3:11" ht="13" x14ac:dyDescent="0.15">
      <c r="C854" s="2"/>
      <c r="F854" s="3"/>
      <c r="K854" s="2"/>
    </row>
    <row r="855" spans="3:11" ht="13" x14ac:dyDescent="0.15">
      <c r="C855" s="2"/>
      <c r="F855" s="3"/>
      <c r="K855" s="2"/>
    </row>
    <row r="856" spans="3:11" ht="13" x14ac:dyDescent="0.15">
      <c r="C856" s="2"/>
      <c r="F856" s="3"/>
      <c r="K856" s="2"/>
    </row>
    <row r="857" spans="3:11" ht="13" x14ac:dyDescent="0.15">
      <c r="C857" s="2"/>
      <c r="F857" s="3"/>
      <c r="K857" s="2"/>
    </row>
    <row r="858" spans="3:11" ht="13" x14ac:dyDescent="0.15">
      <c r="C858" s="2"/>
      <c r="F858" s="3"/>
      <c r="K858" s="2"/>
    </row>
    <row r="859" spans="3:11" ht="13" x14ac:dyDescent="0.15">
      <c r="C859" s="2"/>
      <c r="F859" s="3"/>
      <c r="K859" s="2"/>
    </row>
    <row r="860" spans="3:11" ht="13" x14ac:dyDescent="0.15">
      <c r="C860" s="2"/>
      <c r="F860" s="3"/>
      <c r="K860" s="2"/>
    </row>
    <row r="861" spans="3:11" ht="13" x14ac:dyDescent="0.15">
      <c r="C861" s="2"/>
      <c r="F861" s="3"/>
      <c r="K861" s="2"/>
    </row>
    <row r="862" spans="3:11" ht="13" x14ac:dyDescent="0.15">
      <c r="C862" s="2"/>
      <c r="F862" s="3"/>
      <c r="K862" s="2"/>
    </row>
    <row r="863" spans="3:11" ht="13" x14ac:dyDescent="0.15">
      <c r="C863" s="2"/>
      <c r="F863" s="3"/>
      <c r="K863" s="2"/>
    </row>
    <row r="864" spans="3:11" ht="13" x14ac:dyDescent="0.15">
      <c r="C864" s="2"/>
      <c r="F864" s="3"/>
      <c r="K864" s="2"/>
    </row>
    <row r="865" spans="3:11" ht="13" x14ac:dyDescent="0.15">
      <c r="C865" s="2"/>
      <c r="F865" s="3"/>
      <c r="K865" s="2"/>
    </row>
    <row r="866" spans="3:11" ht="13" x14ac:dyDescent="0.15">
      <c r="C866" s="2"/>
      <c r="F866" s="3"/>
      <c r="K866" s="2"/>
    </row>
    <row r="867" spans="3:11" ht="13" x14ac:dyDescent="0.15">
      <c r="C867" s="2"/>
      <c r="F867" s="3"/>
      <c r="K867" s="2"/>
    </row>
    <row r="868" spans="3:11" ht="13" x14ac:dyDescent="0.15">
      <c r="C868" s="2"/>
      <c r="F868" s="3"/>
      <c r="K868" s="2"/>
    </row>
    <row r="869" spans="3:11" ht="13" x14ac:dyDescent="0.15">
      <c r="C869" s="2"/>
      <c r="F869" s="3"/>
      <c r="K869" s="2"/>
    </row>
    <row r="870" spans="3:11" ht="13" x14ac:dyDescent="0.15">
      <c r="C870" s="2"/>
      <c r="F870" s="3"/>
      <c r="K870" s="2"/>
    </row>
    <row r="871" spans="3:11" ht="13" x14ac:dyDescent="0.15">
      <c r="C871" s="2"/>
      <c r="F871" s="3"/>
      <c r="K871" s="2"/>
    </row>
    <row r="872" spans="3:11" ht="13" x14ac:dyDescent="0.15">
      <c r="C872" s="2"/>
      <c r="F872" s="3"/>
      <c r="K872" s="2"/>
    </row>
    <row r="873" spans="3:11" ht="13" x14ac:dyDescent="0.15">
      <c r="C873" s="2"/>
      <c r="F873" s="3"/>
      <c r="K873" s="2"/>
    </row>
    <row r="874" spans="3:11" ht="13" x14ac:dyDescent="0.15">
      <c r="C874" s="2"/>
      <c r="F874" s="3"/>
      <c r="K874" s="2"/>
    </row>
    <row r="875" spans="3:11" ht="13" x14ac:dyDescent="0.15">
      <c r="C875" s="2"/>
      <c r="F875" s="3"/>
      <c r="K875" s="2"/>
    </row>
    <row r="876" spans="3:11" ht="13" x14ac:dyDescent="0.15">
      <c r="C876" s="2"/>
      <c r="F876" s="3"/>
      <c r="K876" s="2"/>
    </row>
    <row r="877" spans="3:11" ht="13" x14ac:dyDescent="0.15">
      <c r="C877" s="2"/>
      <c r="F877" s="3"/>
      <c r="K877" s="2"/>
    </row>
    <row r="878" spans="3:11" ht="13" x14ac:dyDescent="0.15">
      <c r="C878" s="2"/>
      <c r="F878" s="3"/>
      <c r="K878" s="2"/>
    </row>
    <row r="879" spans="3:11" ht="13" x14ac:dyDescent="0.15">
      <c r="C879" s="2"/>
      <c r="F879" s="3"/>
      <c r="K879" s="2"/>
    </row>
    <row r="880" spans="3:11" ht="13" x14ac:dyDescent="0.15">
      <c r="C880" s="2"/>
      <c r="F880" s="3"/>
      <c r="K880" s="2"/>
    </row>
    <row r="881" spans="3:11" ht="13" x14ac:dyDescent="0.15">
      <c r="C881" s="2"/>
      <c r="F881" s="3"/>
      <c r="K881" s="2"/>
    </row>
    <row r="882" spans="3:11" ht="13" x14ac:dyDescent="0.15">
      <c r="C882" s="2"/>
      <c r="F882" s="3"/>
      <c r="K882" s="2"/>
    </row>
    <row r="883" spans="3:11" ht="13" x14ac:dyDescent="0.15">
      <c r="C883" s="2"/>
      <c r="F883" s="3"/>
      <c r="K883" s="2"/>
    </row>
    <row r="884" spans="3:11" ht="13" x14ac:dyDescent="0.15">
      <c r="C884" s="2"/>
      <c r="F884" s="3"/>
      <c r="K884" s="2"/>
    </row>
    <row r="885" spans="3:11" ht="13" x14ac:dyDescent="0.15">
      <c r="C885" s="2"/>
      <c r="F885" s="3"/>
      <c r="K885" s="2"/>
    </row>
    <row r="886" spans="3:11" ht="13" x14ac:dyDescent="0.15">
      <c r="C886" s="2"/>
      <c r="F886" s="3"/>
      <c r="K886" s="2"/>
    </row>
    <row r="887" spans="3:11" ht="13" x14ac:dyDescent="0.15">
      <c r="C887" s="2"/>
      <c r="F887" s="3"/>
      <c r="K887" s="2"/>
    </row>
    <row r="888" spans="3:11" ht="13" x14ac:dyDescent="0.15">
      <c r="C888" s="2"/>
      <c r="F888" s="3"/>
      <c r="K888" s="2"/>
    </row>
    <row r="889" spans="3:11" ht="13" x14ac:dyDescent="0.15">
      <c r="C889" s="2"/>
      <c r="F889" s="3"/>
      <c r="K889" s="2"/>
    </row>
    <row r="890" spans="3:11" ht="13" x14ac:dyDescent="0.15">
      <c r="C890" s="2"/>
      <c r="F890" s="3"/>
      <c r="K890" s="2"/>
    </row>
    <row r="891" spans="3:11" ht="13" x14ac:dyDescent="0.15">
      <c r="C891" s="2"/>
      <c r="F891" s="3"/>
      <c r="K891" s="2"/>
    </row>
    <row r="892" spans="3:11" ht="13" x14ac:dyDescent="0.15">
      <c r="C892" s="2"/>
      <c r="F892" s="3"/>
      <c r="K892" s="2"/>
    </row>
    <row r="893" spans="3:11" ht="13" x14ac:dyDescent="0.15">
      <c r="C893" s="2"/>
      <c r="F893" s="3"/>
      <c r="K893" s="2"/>
    </row>
    <row r="894" spans="3:11" ht="13" x14ac:dyDescent="0.15">
      <c r="C894" s="2"/>
      <c r="F894" s="3"/>
      <c r="K894" s="2"/>
    </row>
    <row r="895" spans="3:11" ht="13" x14ac:dyDescent="0.15">
      <c r="C895" s="2"/>
      <c r="F895" s="3"/>
      <c r="K895" s="2"/>
    </row>
    <row r="896" spans="3:11" ht="13" x14ac:dyDescent="0.15">
      <c r="C896" s="2"/>
      <c r="F896" s="3"/>
      <c r="K896" s="2"/>
    </row>
    <row r="897" spans="3:11" ht="13" x14ac:dyDescent="0.15">
      <c r="C897" s="2"/>
      <c r="F897" s="3"/>
      <c r="K897" s="2"/>
    </row>
    <row r="898" spans="3:11" ht="13" x14ac:dyDescent="0.15">
      <c r="C898" s="2"/>
      <c r="F898" s="3"/>
      <c r="K898" s="2"/>
    </row>
    <row r="899" spans="3:11" ht="13" x14ac:dyDescent="0.15">
      <c r="C899" s="2"/>
      <c r="F899" s="3"/>
      <c r="K899" s="2"/>
    </row>
    <row r="900" spans="3:11" ht="13" x14ac:dyDescent="0.15">
      <c r="C900" s="2"/>
      <c r="F900" s="3"/>
      <c r="K900" s="2"/>
    </row>
    <row r="901" spans="3:11" ht="13" x14ac:dyDescent="0.15">
      <c r="C901" s="2"/>
      <c r="F901" s="3"/>
      <c r="K901" s="2"/>
    </row>
    <row r="902" spans="3:11" ht="13" x14ac:dyDescent="0.15">
      <c r="C902" s="2"/>
      <c r="F902" s="3"/>
      <c r="K902" s="2"/>
    </row>
    <row r="903" spans="3:11" ht="13" x14ac:dyDescent="0.15">
      <c r="C903" s="2"/>
      <c r="F903" s="3"/>
      <c r="K903" s="2"/>
    </row>
    <row r="904" spans="3:11" ht="13" x14ac:dyDescent="0.15">
      <c r="C904" s="2"/>
      <c r="F904" s="3"/>
      <c r="K904" s="2"/>
    </row>
    <row r="905" spans="3:11" ht="13" x14ac:dyDescent="0.15">
      <c r="C905" s="2"/>
      <c r="F905" s="3"/>
      <c r="K905" s="2"/>
    </row>
    <row r="906" spans="3:11" ht="13" x14ac:dyDescent="0.15">
      <c r="C906" s="2"/>
      <c r="F906" s="3"/>
      <c r="K906" s="2"/>
    </row>
    <row r="907" spans="3:11" ht="13" x14ac:dyDescent="0.15">
      <c r="C907" s="2"/>
      <c r="F907" s="3"/>
      <c r="K907" s="2"/>
    </row>
    <row r="908" spans="3:11" ht="13" x14ac:dyDescent="0.15">
      <c r="C908" s="2"/>
      <c r="F908" s="3"/>
      <c r="K908" s="2"/>
    </row>
    <row r="909" spans="3:11" ht="13" x14ac:dyDescent="0.15">
      <c r="C909" s="2"/>
      <c r="F909" s="3"/>
      <c r="K909" s="2"/>
    </row>
    <row r="910" spans="3:11" ht="13" x14ac:dyDescent="0.15">
      <c r="C910" s="2"/>
      <c r="F910" s="3"/>
      <c r="K910" s="2"/>
    </row>
    <row r="911" spans="3:11" ht="13" x14ac:dyDescent="0.15">
      <c r="C911" s="2"/>
      <c r="F911" s="3"/>
      <c r="K911" s="2"/>
    </row>
    <row r="912" spans="3:11" ht="13" x14ac:dyDescent="0.15">
      <c r="C912" s="2"/>
      <c r="F912" s="3"/>
      <c r="K912" s="2"/>
    </row>
    <row r="913" spans="3:11" ht="13" x14ac:dyDescent="0.15">
      <c r="C913" s="2"/>
      <c r="F913" s="3"/>
      <c r="K913" s="2"/>
    </row>
    <row r="914" spans="3:11" ht="13" x14ac:dyDescent="0.15">
      <c r="C914" s="2"/>
      <c r="F914" s="3"/>
      <c r="K914" s="2"/>
    </row>
    <row r="915" spans="3:11" ht="13" x14ac:dyDescent="0.15">
      <c r="C915" s="2"/>
      <c r="F915" s="3"/>
      <c r="K915" s="2"/>
    </row>
    <row r="916" spans="3:11" ht="13" x14ac:dyDescent="0.15">
      <c r="C916" s="2"/>
      <c r="F916" s="3"/>
      <c r="K916" s="2"/>
    </row>
    <row r="917" spans="3:11" ht="13" x14ac:dyDescent="0.15">
      <c r="C917" s="2"/>
      <c r="F917" s="3"/>
      <c r="K917" s="2"/>
    </row>
    <row r="918" spans="3:11" ht="13" x14ac:dyDescent="0.15">
      <c r="C918" s="2"/>
      <c r="F918" s="3"/>
      <c r="K918" s="2"/>
    </row>
    <row r="919" spans="3:11" ht="13" x14ac:dyDescent="0.15">
      <c r="C919" s="2"/>
      <c r="F919" s="3"/>
      <c r="K919" s="2"/>
    </row>
    <row r="920" spans="3:11" ht="13" x14ac:dyDescent="0.15">
      <c r="C920" s="2"/>
      <c r="F920" s="3"/>
      <c r="K920" s="2"/>
    </row>
    <row r="921" spans="3:11" ht="13" x14ac:dyDescent="0.15">
      <c r="C921" s="2"/>
      <c r="F921" s="3"/>
      <c r="K921" s="2"/>
    </row>
    <row r="922" spans="3:11" ht="13" x14ac:dyDescent="0.15">
      <c r="C922" s="2"/>
      <c r="F922" s="3"/>
      <c r="K922" s="2"/>
    </row>
    <row r="923" spans="3:11" ht="13" x14ac:dyDescent="0.15">
      <c r="C923" s="2"/>
      <c r="F923" s="3"/>
      <c r="K923" s="2"/>
    </row>
    <row r="924" spans="3:11" ht="13" x14ac:dyDescent="0.15">
      <c r="C924" s="2"/>
      <c r="F924" s="3"/>
      <c r="K924" s="2"/>
    </row>
    <row r="925" spans="3:11" ht="13" x14ac:dyDescent="0.15">
      <c r="C925" s="2"/>
      <c r="F925" s="3"/>
      <c r="K925" s="2"/>
    </row>
    <row r="926" spans="3:11" ht="13" x14ac:dyDescent="0.15">
      <c r="C926" s="2"/>
      <c r="F926" s="3"/>
      <c r="K926" s="2"/>
    </row>
    <row r="927" spans="3:11" ht="13" x14ac:dyDescent="0.15">
      <c r="C927" s="2"/>
      <c r="F927" s="3"/>
      <c r="K927" s="2"/>
    </row>
    <row r="928" spans="3:11" ht="13" x14ac:dyDescent="0.15">
      <c r="C928" s="2"/>
      <c r="F928" s="3"/>
      <c r="K928" s="2"/>
    </row>
    <row r="929" spans="3:11" ht="13" x14ac:dyDescent="0.15">
      <c r="C929" s="2"/>
      <c r="F929" s="3"/>
      <c r="K929" s="2"/>
    </row>
    <row r="930" spans="3:11" ht="13" x14ac:dyDescent="0.15">
      <c r="C930" s="2"/>
      <c r="F930" s="3"/>
      <c r="K930" s="2"/>
    </row>
    <row r="931" spans="3:11" ht="13" x14ac:dyDescent="0.15">
      <c r="C931" s="2"/>
      <c r="F931" s="3"/>
      <c r="K931" s="2"/>
    </row>
    <row r="932" spans="3:11" ht="13" x14ac:dyDescent="0.15">
      <c r="C932" s="2"/>
      <c r="F932" s="3"/>
      <c r="K932" s="2"/>
    </row>
    <row r="933" spans="3:11" ht="13" x14ac:dyDescent="0.15">
      <c r="C933" s="2"/>
      <c r="F933" s="3"/>
      <c r="K933" s="2"/>
    </row>
    <row r="934" spans="3:11" ht="13" x14ac:dyDescent="0.15">
      <c r="C934" s="2"/>
      <c r="F934" s="3"/>
      <c r="K934" s="2"/>
    </row>
    <row r="935" spans="3:11" ht="13" x14ac:dyDescent="0.15">
      <c r="C935" s="2"/>
      <c r="F935" s="3"/>
      <c r="K935" s="2"/>
    </row>
    <row r="936" spans="3:11" ht="13" x14ac:dyDescent="0.15">
      <c r="C936" s="2"/>
      <c r="F936" s="3"/>
      <c r="K936" s="2"/>
    </row>
    <row r="937" spans="3:11" ht="13" x14ac:dyDescent="0.15">
      <c r="C937" s="2"/>
      <c r="F937" s="3"/>
      <c r="K937" s="2"/>
    </row>
    <row r="938" spans="3:11" ht="13" x14ac:dyDescent="0.15">
      <c r="C938" s="2"/>
      <c r="F938" s="3"/>
      <c r="K938" s="2"/>
    </row>
    <row r="939" spans="3:11" ht="13" x14ac:dyDescent="0.15">
      <c r="C939" s="2"/>
      <c r="F939" s="3"/>
      <c r="K939" s="2"/>
    </row>
    <row r="940" spans="3:11" ht="13" x14ac:dyDescent="0.15">
      <c r="C940" s="2"/>
      <c r="F940" s="3"/>
      <c r="K940" s="2"/>
    </row>
    <row r="941" spans="3:11" ht="13" x14ac:dyDescent="0.15">
      <c r="C941" s="2"/>
      <c r="F941" s="3"/>
      <c r="K941" s="2"/>
    </row>
    <row r="942" spans="3:11" ht="13" x14ac:dyDescent="0.15">
      <c r="C942" s="2"/>
      <c r="F942" s="3"/>
      <c r="K942" s="2"/>
    </row>
    <row r="943" spans="3:11" ht="13" x14ac:dyDescent="0.15">
      <c r="C943" s="2"/>
      <c r="F943" s="3"/>
      <c r="K943" s="2"/>
    </row>
    <row r="944" spans="3:11" ht="13" x14ac:dyDescent="0.15">
      <c r="C944" s="2"/>
      <c r="F944" s="3"/>
      <c r="K944" s="2"/>
    </row>
    <row r="945" spans="3:11" ht="13" x14ac:dyDescent="0.15">
      <c r="C945" s="2"/>
      <c r="F945" s="3"/>
      <c r="K945" s="2"/>
    </row>
    <row r="946" spans="3:11" ht="13" x14ac:dyDescent="0.15">
      <c r="C946" s="2"/>
      <c r="F946" s="3"/>
      <c r="K946" s="2"/>
    </row>
    <row r="947" spans="3:11" ht="13" x14ac:dyDescent="0.15">
      <c r="C947" s="2"/>
      <c r="F947" s="3"/>
      <c r="K947" s="2"/>
    </row>
    <row r="948" spans="3:11" ht="13" x14ac:dyDescent="0.15">
      <c r="C948" s="2"/>
      <c r="F948" s="3"/>
      <c r="K948" s="2"/>
    </row>
    <row r="949" spans="3:11" ht="13" x14ac:dyDescent="0.15">
      <c r="C949" s="2"/>
      <c r="F949" s="3"/>
      <c r="K949" s="2"/>
    </row>
    <row r="950" spans="3:11" ht="13" x14ac:dyDescent="0.15">
      <c r="C950" s="2"/>
      <c r="F950" s="3"/>
      <c r="K950" s="2"/>
    </row>
    <row r="951" spans="3:11" ht="13" x14ac:dyDescent="0.15">
      <c r="C951" s="2"/>
      <c r="F951" s="3"/>
      <c r="K951" s="2"/>
    </row>
    <row r="952" spans="3:11" ht="13" x14ac:dyDescent="0.15">
      <c r="C952" s="2"/>
      <c r="F952" s="3"/>
      <c r="K952" s="2"/>
    </row>
    <row r="953" spans="3:11" ht="13" x14ac:dyDescent="0.15">
      <c r="C953" s="2"/>
      <c r="F953" s="3"/>
      <c r="K953" s="2"/>
    </row>
    <row r="954" spans="3:11" ht="13" x14ac:dyDescent="0.15">
      <c r="C954" s="2"/>
      <c r="F954" s="3"/>
      <c r="K954" s="2"/>
    </row>
    <row r="955" spans="3:11" ht="13" x14ac:dyDescent="0.15">
      <c r="C955" s="2"/>
      <c r="F955" s="3"/>
      <c r="K955" s="2"/>
    </row>
    <row r="956" spans="3:11" ht="13" x14ac:dyDescent="0.15">
      <c r="C956" s="2"/>
      <c r="F956" s="3"/>
      <c r="K956" s="2"/>
    </row>
    <row r="957" spans="3:11" ht="13" x14ac:dyDescent="0.15">
      <c r="C957" s="2"/>
      <c r="F957" s="3"/>
      <c r="K957" s="2"/>
    </row>
    <row r="958" spans="3:11" ht="13" x14ac:dyDescent="0.15">
      <c r="C958" s="2"/>
      <c r="F958" s="3"/>
      <c r="K958" s="2"/>
    </row>
    <row r="959" spans="3:11" ht="13" x14ac:dyDescent="0.15">
      <c r="C959" s="2"/>
      <c r="F959" s="3"/>
      <c r="K959" s="2"/>
    </row>
    <row r="960" spans="3:11" ht="13" x14ac:dyDescent="0.15">
      <c r="C960" s="2"/>
      <c r="F960" s="3"/>
      <c r="K960" s="2"/>
    </row>
    <row r="961" spans="3:11" ht="13" x14ac:dyDescent="0.15">
      <c r="C961" s="2"/>
      <c r="F961" s="3"/>
      <c r="K961" s="2"/>
    </row>
    <row r="962" spans="3:11" ht="13" x14ac:dyDescent="0.15">
      <c r="C962" s="2"/>
      <c r="F962" s="3"/>
      <c r="K962" s="2"/>
    </row>
    <row r="963" spans="3:11" ht="13" x14ac:dyDescent="0.15">
      <c r="C963" s="2"/>
      <c r="F963" s="3"/>
      <c r="K963" s="2"/>
    </row>
    <row r="964" spans="3:11" ht="13" x14ac:dyDescent="0.15">
      <c r="C964" s="2"/>
      <c r="F964" s="3"/>
      <c r="K964" s="2"/>
    </row>
    <row r="965" spans="3:11" ht="13" x14ac:dyDescent="0.15">
      <c r="C965" s="2"/>
      <c r="F965" s="3"/>
      <c r="K965" s="2"/>
    </row>
    <row r="966" spans="3:11" ht="13" x14ac:dyDescent="0.15">
      <c r="C966" s="2"/>
      <c r="F966" s="3"/>
      <c r="K966" s="2"/>
    </row>
    <row r="967" spans="3:11" ht="13" x14ac:dyDescent="0.15">
      <c r="C967" s="2"/>
      <c r="F967" s="3"/>
      <c r="K967" s="2"/>
    </row>
    <row r="968" spans="3:11" ht="13" x14ac:dyDescent="0.15">
      <c r="C968" s="2"/>
      <c r="F968" s="3"/>
      <c r="K968" s="2"/>
    </row>
    <row r="969" spans="3:11" ht="13" x14ac:dyDescent="0.15">
      <c r="C969" s="2"/>
      <c r="F969" s="3"/>
      <c r="K969" s="2"/>
    </row>
    <row r="970" spans="3:11" ht="13" x14ac:dyDescent="0.15">
      <c r="C970" s="2"/>
      <c r="F970" s="3"/>
      <c r="K970" s="2"/>
    </row>
    <row r="971" spans="3:11" ht="13" x14ac:dyDescent="0.15">
      <c r="C971" s="2"/>
      <c r="F971" s="3"/>
      <c r="K971" s="2"/>
    </row>
    <row r="972" spans="3:11" ht="13" x14ac:dyDescent="0.15">
      <c r="C972" s="2"/>
      <c r="F972" s="3"/>
      <c r="K972" s="2"/>
    </row>
    <row r="973" spans="3:11" ht="13" x14ac:dyDescent="0.15">
      <c r="C973" s="2"/>
      <c r="F973" s="3"/>
      <c r="K973" s="2"/>
    </row>
    <row r="974" spans="3:11" ht="13" x14ac:dyDescent="0.15">
      <c r="C974" s="2"/>
      <c r="F974" s="3"/>
      <c r="K974" s="2"/>
    </row>
    <row r="975" spans="3:11" ht="13" x14ac:dyDescent="0.15">
      <c r="C975" s="2"/>
      <c r="F975" s="3"/>
      <c r="K975" s="2"/>
    </row>
    <row r="976" spans="3:11" ht="13" x14ac:dyDescent="0.15">
      <c r="C976" s="2"/>
      <c r="F976" s="3"/>
      <c r="K976" s="2"/>
    </row>
    <row r="977" spans="3:11" ht="13" x14ac:dyDescent="0.15">
      <c r="C977" s="2"/>
      <c r="F977" s="3"/>
      <c r="K977" s="2"/>
    </row>
    <row r="978" spans="3:11" ht="13" x14ac:dyDescent="0.15">
      <c r="C978" s="2"/>
      <c r="F978" s="3"/>
      <c r="K978" s="2"/>
    </row>
    <row r="979" spans="3:11" ht="13" x14ac:dyDescent="0.15">
      <c r="C979" s="2"/>
      <c r="F979" s="3"/>
      <c r="K979" s="2"/>
    </row>
    <row r="980" spans="3:11" ht="13" x14ac:dyDescent="0.15">
      <c r="C980" s="2"/>
      <c r="F980" s="3"/>
      <c r="K980" s="2"/>
    </row>
    <row r="981" spans="3:11" ht="13" x14ac:dyDescent="0.15">
      <c r="C981" s="2"/>
      <c r="F981" s="3"/>
      <c r="K981" s="2"/>
    </row>
    <row r="982" spans="3:11" ht="13" x14ac:dyDescent="0.15">
      <c r="C982" s="2"/>
      <c r="F982" s="3"/>
      <c r="K982" s="2"/>
    </row>
    <row r="983" spans="3:11" ht="13" x14ac:dyDescent="0.15">
      <c r="C983" s="2"/>
      <c r="F983" s="3"/>
      <c r="K983" s="2"/>
    </row>
    <row r="984" spans="3:11" ht="13" x14ac:dyDescent="0.15">
      <c r="C984" s="2"/>
      <c r="F984" s="3"/>
      <c r="K984" s="2"/>
    </row>
    <row r="985" spans="3:11" ht="13" x14ac:dyDescent="0.15">
      <c r="C985" s="2"/>
      <c r="F985" s="3"/>
      <c r="K985" s="2"/>
    </row>
    <row r="986" spans="3:11" ht="13" x14ac:dyDescent="0.15">
      <c r="C986" s="2"/>
      <c r="F986" s="3"/>
      <c r="K986" s="2"/>
    </row>
    <row r="987" spans="3:11" ht="13" x14ac:dyDescent="0.15">
      <c r="C987" s="2"/>
      <c r="F987" s="3"/>
      <c r="K987" s="2"/>
    </row>
    <row r="988" spans="3:11" ht="13" x14ac:dyDescent="0.15">
      <c r="C988" s="2"/>
      <c r="F988" s="3"/>
      <c r="K988" s="2"/>
    </row>
    <row r="989" spans="3:11" ht="13" x14ac:dyDescent="0.15">
      <c r="C989" s="2"/>
      <c r="F989" s="3"/>
      <c r="K989" s="2"/>
    </row>
    <row r="990" spans="3:11" ht="13" x14ac:dyDescent="0.15">
      <c r="C990" s="2"/>
      <c r="F990" s="3"/>
      <c r="K990" s="2"/>
    </row>
    <row r="991" spans="3:11" ht="13" x14ac:dyDescent="0.15">
      <c r="C991" s="2"/>
      <c r="F991" s="3"/>
      <c r="K991" s="2"/>
    </row>
    <row r="992" spans="3:11" ht="13" x14ac:dyDescent="0.15">
      <c r="C992" s="2"/>
      <c r="F992" s="3"/>
      <c r="K992" s="2"/>
    </row>
    <row r="993" spans="3:11" ht="13" x14ac:dyDescent="0.15">
      <c r="C993" s="2"/>
      <c r="F993" s="3"/>
      <c r="K993" s="2"/>
    </row>
    <row r="994" spans="3:11" ht="13" x14ac:dyDescent="0.15">
      <c r="C994" s="2"/>
      <c r="F994" s="3"/>
      <c r="K994" s="2"/>
    </row>
    <row r="995" spans="3:11" ht="13" x14ac:dyDescent="0.15">
      <c r="C995" s="2"/>
      <c r="F995" s="3"/>
      <c r="K995" s="2"/>
    </row>
    <row r="996" spans="3:11" ht="13" x14ac:dyDescent="0.15">
      <c r="C996" s="2"/>
      <c r="F996" s="3"/>
      <c r="K996" s="2"/>
    </row>
    <row r="997" spans="3:11" ht="13" x14ac:dyDescent="0.15">
      <c r="C997" s="2"/>
      <c r="F997" s="3"/>
      <c r="K997" s="2"/>
    </row>
    <row r="998" spans="3:11" ht="13" x14ac:dyDescent="0.15">
      <c r="C998" s="2"/>
      <c r="F998" s="3"/>
      <c r="K998" s="2"/>
    </row>
    <row r="999" spans="3:11" ht="13" x14ac:dyDescent="0.15">
      <c r="C999" s="2"/>
      <c r="F999" s="3"/>
      <c r="K999" s="2"/>
    </row>
    <row r="1000" spans="3:11" ht="13" x14ac:dyDescent="0.15">
      <c r="C1000" s="2"/>
      <c r="F1000" s="3"/>
      <c r="K1000" s="2"/>
    </row>
    <row r="1001" spans="3:11" ht="13" x14ac:dyDescent="0.15">
      <c r="C1001" s="2"/>
      <c r="F1001" s="3"/>
      <c r="K1001" s="2"/>
    </row>
    <row r="1002" spans="3:11" ht="13" x14ac:dyDescent="0.15">
      <c r="C1002" s="2"/>
      <c r="F1002" s="3"/>
      <c r="K1002" s="2"/>
    </row>
    <row r="1003" spans="3:11" ht="13" x14ac:dyDescent="0.15">
      <c r="C1003" s="2"/>
      <c r="F1003" s="3"/>
      <c r="K1003" s="2"/>
    </row>
    <row r="1004" spans="3:11" ht="13" x14ac:dyDescent="0.15">
      <c r="C1004" s="2"/>
      <c r="F1004" s="3"/>
      <c r="K1004" s="2"/>
    </row>
    <row r="1005" spans="3:11" ht="13" x14ac:dyDescent="0.15">
      <c r="C1005" s="2"/>
      <c r="F1005" s="3"/>
      <c r="K1005" s="2"/>
    </row>
    <row r="1006" spans="3:11" ht="13" x14ac:dyDescent="0.15">
      <c r="C1006" s="2"/>
      <c r="F1006" s="3"/>
      <c r="K1006" s="2"/>
    </row>
    <row r="1007" spans="3:11" ht="13" x14ac:dyDescent="0.15">
      <c r="C1007" s="2"/>
      <c r="F1007" s="3"/>
      <c r="K1007" s="2"/>
    </row>
    <row r="1008" spans="3:11" ht="13" x14ac:dyDescent="0.15">
      <c r="C1008" s="2"/>
      <c r="F1008" s="3"/>
      <c r="K1008" s="2"/>
    </row>
    <row r="1009" spans="3:11" ht="13" x14ac:dyDescent="0.15">
      <c r="C1009" s="2"/>
      <c r="F1009" s="3"/>
      <c r="K1009" s="2"/>
    </row>
    <row r="1010" spans="3:11" ht="13" x14ac:dyDescent="0.15">
      <c r="C1010" s="2"/>
      <c r="F1010" s="3"/>
      <c r="K1010" s="2"/>
    </row>
    <row r="1011" spans="3:11" ht="13" x14ac:dyDescent="0.15">
      <c r="C1011" s="2"/>
      <c r="F1011" s="3"/>
      <c r="K1011" s="2"/>
    </row>
    <row r="1012" spans="3:11" ht="13" x14ac:dyDescent="0.15">
      <c r="C1012" s="2"/>
      <c r="F1012" s="3"/>
      <c r="K1012" s="2"/>
    </row>
    <row r="1013" spans="3:11" ht="13" x14ac:dyDescent="0.15">
      <c r="C1013" s="2"/>
      <c r="F1013" s="3"/>
      <c r="K1013" s="2"/>
    </row>
    <row r="1014" spans="3:11" ht="13" x14ac:dyDescent="0.15">
      <c r="C1014" s="2"/>
      <c r="F1014" s="3"/>
      <c r="K1014" s="2"/>
    </row>
    <row r="1015" spans="3:11" ht="13" x14ac:dyDescent="0.15">
      <c r="C1015" s="2"/>
      <c r="F1015" s="3"/>
      <c r="K1015" s="2"/>
    </row>
    <row r="1016" spans="3:11" ht="13" x14ac:dyDescent="0.15">
      <c r="C1016" s="2"/>
      <c r="F1016" s="3"/>
      <c r="K1016" s="2"/>
    </row>
    <row r="1017" spans="3:11" ht="13" x14ac:dyDescent="0.15">
      <c r="C1017" s="2"/>
      <c r="F1017" s="3"/>
      <c r="K1017" s="2"/>
    </row>
    <row r="1018" spans="3:11" ht="13" x14ac:dyDescent="0.15">
      <c r="C1018" s="2"/>
      <c r="F1018" s="3"/>
      <c r="K1018" s="2"/>
    </row>
    <row r="1019" spans="3:11" ht="13" x14ac:dyDescent="0.15">
      <c r="C1019" s="2"/>
      <c r="F1019" s="3"/>
      <c r="K1019" s="2"/>
    </row>
    <row r="1020" spans="3:11" ht="13" x14ac:dyDescent="0.15">
      <c r="C1020" s="2"/>
      <c r="F1020" s="3"/>
      <c r="K1020" s="2"/>
    </row>
    <row r="1021" spans="3:11" ht="13" x14ac:dyDescent="0.15">
      <c r="C1021" s="2"/>
      <c r="F1021" s="3"/>
      <c r="K1021" s="2"/>
    </row>
    <row r="1022" spans="3:11" ht="13" x14ac:dyDescent="0.15">
      <c r="C1022" s="2"/>
      <c r="F1022" s="3"/>
      <c r="K1022" s="2"/>
    </row>
    <row r="1023" spans="3:11" ht="13" x14ac:dyDescent="0.15">
      <c r="C1023" s="2"/>
      <c r="F1023" s="3"/>
      <c r="K1023" s="2"/>
    </row>
    <row r="1024" spans="3:11" ht="13" x14ac:dyDescent="0.15">
      <c r="C1024" s="2"/>
      <c r="F1024" s="3"/>
      <c r="K1024" s="2"/>
    </row>
    <row r="1025" spans="3:11" ht="13" x14ac:dyDescent="0.15">
      <c r="C1025" s="2"/>
      <c r="F1025" s="3"/>
      <c r="K1025" s="2"/>
    </row>
    <row r="1026" spans="3:11" ht="13" x14ac:dyDescent="0.15">
      <c r="C1026" s="2"/>
      <c r="F1026" s="3"/>
      <c r="K1026" s="2"/>
    </row>
    <row r="1027" spans="3:11" ht="13" x14ac:dyDescent="0.15">
      <c r="C1027" s="2"/>
      <c r="F1027" s="3"/>
      <c r="K1027" s="2"/>
    </row>
    <row r="1028" spans="3:11" ht="13" x14ac:dyDescent="0.15">
      <c r="C1028" s="2"/>
      <c r="F1028" s="3"/>
      <c r="K1028" s="2"/>
    </row>
    <row r="1029" spans="3:11" ht="13" x14ac:dyDescent="0.15">
      <c r="C1029" s="2"/>
      <c r="F1029" s="3"/>
      <c r="K1029" s="2"/>
    </row>
    <row r="1030" spans="3:11" ht="13" x14ac:dyDescent="0.15">
      <c r="C1030" s="2"/>
      <c r="F1030" s="3"/>
      <c r="K1030" s="2"/>
    </row>
    <row r="1031" spans="3:11" ht="13" x14ac:dyDescent="0.15">
      <c r="C1031" s="2"/>
      <c r="F1031" s="3"/>
      <c r="K1031" s="2"/>
    </row>
    <row r="1032" spans="3:11" ht="13" x14ac:dyDescent="0.15">
      <c r="C1032" s="2"/>
      <c r="F1032" s="3"/>
      <c r="K1032" s="2"/>
    </row>
    <row r="1033" spans="3:11" ht="13" x14ac:dyDescent="0.15">
      <c r="C1033" s="2"/>
      <c r="F1033" s="3"/>
      <c r="K1033" s="2"/>
    </row>
    <row r="1034" spans="3:11" ht="13" x14ac:dyDescent="0.15">
      <c r="C1034" s="2"/>
      <c r="F1034" s="3"/>
      <c r="K1034" s="2"/>
    </row>
    <row r="1035" spans="3:11" ht="13" x14ac:dyDescent="0.15">
      <c r="C1035" s="2"/>
      <c r="F1035" s="3"/>
      <c r="K1035" s="2"/>
    </row>
    <row r="1036" spans="3:11" ht="13" x14ac:dyDescent="0.15">
      <c r="C1036" s="2"/>
      <c r="F1036" s="3"/>
      <c r="K1036" s="2"/>
    </row>
    <row r="1037" spans="3:11" ht="13" x14ac:dyDescent="0.15">
      <c r="C1037" s="2"/>
      <c r="F1037" s="3"/>
      <c r="K1037" s="2"/>
    </row>
    <row r="1038" spans="3:11" ht="13" x14ac:dyDescent="0.15">
      <c r="C1038" s="2"/>
      <c r="F1038" s="3"/>
      <c r="K1038" s="2"/>
    </row>
    <row r="1039" spans="3:11" ht="13" x14ac:dyDescent="0.15">
      <c r="C1039" s="2"/>
      <c r="F1039" s="3"/>
      <c r="K1039" s="2"/>
    </row>
    <row r="1040" spans="3:11" ht="13" x14ac:dyDescent="0.15">
      <c r="C1040" s="2"/>
      <c r="F1040" s="3"/>
      <c r="K1040" s="2"/>
    </row>
    <row r="1041" spans="3:11" ht="13" x14ac:dyDescent="0.15">
      <c r="C1041" s="2"/>
      <c r="F1041" s="3"/>
      <c r="K1041" s="2"/>
    </row>
    <row r="1042" spans="3:11" ht="13" x14ac:dyDescent="0.15">
      <c r="C1042" s="2"/>
      <c r="F1042" s="3"/>
      <c r="K1042" s="2"/>
    </row>
    <row r="1043" spans="3:11" ht="13" x14ac:dyDescent="0.15">
      <c r="C1043" s="2"/>
      <c r="F1043" s="3"/>
      <c r="K1043" s="2"/>
    </row>
    <row r="1044" spans="3:11" ht="13" x14ac:dyDescent="0.15">
      <c r="C1044" s="2"/>
      <c r="F1044" s="3"/>
      <c r="K1044" s="2"/>
    </row>
    <row r="1045" spans="3:11" ht="13" x14ac:dyDescent="0.15">
      <c r="C1045" s="2"/>
      <c r="F1045" s="3"/>
      <c r="K1045" s="2"/>
    </row>
    <row r="1046" spans="3:11" ht="13" x14ac:dyDescent="0.15">
      <c r="C1046" s="2"/>
      <c r="F1046" s="3"/>
      <c r="K1046" s="2"/>
    </row>
    <row r="1047" spans="3:11" ht="13" x14ac:dyDescent="0.15">
      <c r="C1047" s="2"/>
      <c r="F1047" s="3"/>
      <c r="K1047" s="2"/>
    </row>
    <row r="1048" spans="3:11" ht="13" x14ac:dyDescent="0.15">
      <c r="C1048" s="2"/>
      <c r="F1048" s="3"/>
      <c r="K1048" s="2"/>
    </row>
    <row r="1049" spans="3:11" ht="13" x14ac:dyDescent="0.15">
      <c r="C1049" s="2"/>
      <c r="F1049" s="3"/>
      <c r="K1049" s="2"/>
    </row>
    <row r="1050" spans="3:11" ht="13" x14ac:dyDescent="0.15">
      <c r="C1050" s="2"/>
      <c r="F1050" s="3"/>
      <c r="K1050" s="2"/>
    </row>
    <row r="1051" spans="3:11" ht="13" x14ac:dyDescent="0.15">
      <c r="C1051" s="2"/>
      <c r="F1051" s="3"/>
      <c r="K1051" s="2"/>
    </row>
    <row r="1052" spans="3:11" ht="13" x14ac:dyDescent="0.15">
      <c r="C1052" s="2"/>
      <c r="F1052" s="3"/>
      <c r="K1052" s="2"/>
    </row>
    <row r="1053" spans="3:11" ht="13" x14ac:dyDescent="0.15">
      <c r="C1053" s="2"/>
      <c r="F1053" s="3"/>
      <c r="K1053" s="2"/>
    </row>
    <row r="1054" spans="3:11" ht="13" x14ac:dyDescent="0.15">
      <c r="C1054" s="2"/>
      <c r="F1054" s="3"/>
      <c r="K1054" s="2"/>
    </row>
    <row r="1055" spans="3:11" ht="13" x14ac:dyDescent="0.15">
      <c r="C1055" s="2"/>
      <c r="F1055" s="3"/>
      <c r="K1055" s="2"/>
    </row>
    <row r="1056" spans="3:11" ht="13" x14ac:dyDescent="0.15">
      <c r="C1056" s="2"/>
      <c r="F1056" s="3"/>
      <c r="K1056" s="2"/>
    </row>
    <row r="1057" spans="1:11" ht="13" x14ac:dyDescent="0.15">
      <c r="C1057" s="2"/>
      <c r="F1057" s="3"/>
      <c r="K1057" s="2"/>
    </row>
    <row r="1058" spans="1:11" ht="13" x14ac:dyDescent="0.15">
      <c r="C1058" s="2"/>
      <c r="F1058" s="3"/>
      <c r="K1058" s="2"/>
    </row>
    <row r="1059" spans="1:11" ht="13" x14ac:dyDescent="0.15">
      <c r="C1059" s="2"/>
      <c r="F1059" s="3"/>
      <c r="K1059" s="2"/>
    </row>
    <row r="1060" spans="1:11" ht="13" x14ac:dyDescent="0.15">
      <c r="C1060" s="2"/>
      <c r="F1060" s="3"/>
      <c r="K1060" s="2"/>
    </row>
    <row r="1061" spans="1:11" ht="13" x14ac:dyDescent="0.15">
      <c r="C1061" s="2"/>
      <c r="F1061" s="3"/>
      <c r="K1061" s="2"/>
    </row>
    <row r="1062" spans="1:11" ht="13" x14ac:dyDescent="0.15">
      <c r="C1062" s="2"/>
      <c r="F1062" s="3"/>
      <c r="K1062" s="2"/>
    </row>
    <row r="1063" spans="1:11" ht="13" x14ac:dyDescent="0.15">
      <c r="C1063" s="2"/>
      <c r="F1063" s="3"/>
      <c r="K1063" s="2"/>
    </row>
    <row r="1064" spans="1:11" ht="13" x14ac:dyDescent="0.15">
      <c r="C1064" s="2"/>
      <c r="F1064" s="3"/>
      <c r="K1064" s="2"/>
    </row>
    <row r="1065" spans="1:11" ht="13" x14ac:dyDescent="0.15">
      <c r="A1065" s="12"/>
      <c r="C1065" s="2"/>
      <c r="F1065" s="3"/>
      <c r="K1065" s="2"/>
    </row>
  </sheetData>
  <mergeCells count="2">
    <mergeCell ref="D2:F2"/>
    <mergeCell ref="G2:J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G101"/>
  <sheetViews>
    <sheetView workbookViewId="0"/>
  </sheetViews>
  <sheetFormatPr baseColWidth="10" defaultColWidth="12.6640625" defaultRowHeight="15.75" customHeight="1" x14ac:dyDescent="0.15"/>
  <cols>
    <col min="1" max="1" width="23.33203125" customWidth="1"/>
    <col min="3" max="3" width="13.83203125" customWidth="1"/>
  </cols>
  <sheetData>
    <row r="1" spans="1:7" ht="15.75" customHeight="1" x14ac:dyDescent="0.15">
      <c r="A1" s="1" t="s">
        <v>39</v>
      </c>
    </row>
    <row r="2" spans="1:7" ht="15.75" customHeight="1" x14ac:dyDescent="0.15">
      <c r="A2" s="13" t="s">
        <v>40</v>
      </c>
      <c r="B2" s="5"/>
      <c r="C2" s="5"/>
      <c r="D2" s="5"/>
      <c r="E2" s="5"/>
      <c r="F2" s="5"/>
      <c r="G2" s="5"/>
    </row>
    <row r="3" spans="1:7" ht="15.75" customHeight="1" x14ac:dyDescent="0.15">
      <c r="A3" s="1"/>
      <c r="B3" s="5"/>
      <c r="C3" s="5"/>
      <c r="D3" s="5"/>
      <c r="E3" s="5"/>
      <c r="F3" s="5"/>
      <c r="G3" s="5"/>
    </row>
    <row r="4" spans="1:7" ht="15.75" customHeight="1" x14ac:dyDescent="0.15">
      <c r="A4" s="1" t="s">
        <v>41</v>
      </c>
      <c r="B4" s="21" t="s">
        <v>42</v>
      </c>
      <c r="C4" s="22"/>
      <c r="D4" s="23"/>
      <c r="E4" s="21" t="s">
        <v>43</v>
      </c>
      <c r="F4" s="22"/>
      <c r="G4" s="23"/>
    </row>
    <row r="5" spans="1:7" ht="15.75" customHeight="1" x14ac:dyDescent="0.15">
      <c r="A5" s="1" t="s">
        <v>44</v>
      </c>
      <c r="B5" s="14">
        <v>10</v>
      </c>
      <c r="C5" s="1">
        <v>20</v>
      </c>
      <c r="D5" s="10">
        <v>30</v>
      </c>
      <c r="E5" s="14">
        <v>10</v>
      </c>
      <c r="F5" s="1">
        <v>20</v>
      </c>
      <c r="G5" s="10">
        <v>30</v>
      </c>
    </row>
    <row r="6" spans="1:7" ht="15.75" customHeight="1" x14ac:dyDescent="0.15">
      <c r="A6" s="7" t="s">
        <v>45</v>
      </c>
      <c r="B6" s="15">
        <v>216</v>
      </c>
      <c r="C6" s="7">
        <v>0</v>
      </c>
      <c r="D6" s="3">
        <v>76</v>
      </c>
      <c r="E6" s="15">
        <v>100</v>
      </c>
      <c r="F6" s="7">
        <v>0</v>
      </c>
      <c r="G6" s="3">
        <v>46</v>
      </c>
    </row>
    <row r="7" spans="1:7" ht="15.75" customHeight="1" x14ac:dyDescent="0.15">
      <c r="A7" s="7" t="s">
        <v>46</v>
      </c>
      <c r="B7" s="15">
        <v>140</v>
      </c>
      <c r="C7" s="7">
        <v>160</v>
      </c>
      <c r="D7" s="3">
        <v>0</v>
      </c>
      <c r="E7" s="15">
        <v>78</v>
      </c>
      <c r="F7" s="7">
        <v>0</v>
      </c>
      <c r="G7" s="3">
        <v>74</v>
      </c>
    </row>
    <row r="8" spans="1:7" ht="15.75" customHeight="1" x14ac:dyDescent="0.15">
      <c r="A8" s="7" t="s">
        <v>47</v>
      </c>
      <c r="B8" s="15">
        <f t="shared" ref="B8:G8" si="0">ROUND(AVERAGE(B6:B7),1)</f>
        <v>178</v>
      </c>
      <c r="C8" s="7">
        <f t="shared" si="0"/>
        <v>80</v>
      </c>
      <c r="D8" s="3">
        <f t="shared" si="0"/>
        <v>38</v>
      </c>
      <c r="E8" s="15">
        <f t="shared" si="0"/>
        <v>89</v>
      </c>
      <c r="F8" s="7">
        <f t="shared" si="0"/>
        <v>0</v>
      </c>
      <c r="G8" s="3">
        <f t="shared" si="0"/>
        <v>60</v>
      </c>
    </row>
    <row r="9" spans="1:7" ht="15.75" customHeight="1" x14ac:dyDescent="0.15">
      <c r="A9" s="1" t="s">
        <v>48</v>
      </c>
      <c r="B9" s="15"/>
      <c r="D9" s="3"/>
      <c r="E9" s="15"/>
      <c r="G9" s="3"/>
    </row>
    <row r="10" spans="1:7" ht="15.75" customHeight="1" x14ac:dyDescent="0.15">
      <c r="A10" s="7" t="s">
        <v>45</v>
      </c>
      <c r="B10" s="15">
        <v>5</v>
      </c>
      <c r="C10" s="7">
        <v>234</v>
      </c>
      <c r="D10" s="3">
        <v>12</v>
      </c>
      <c r="E10" s="15">
        <v>4</v>
      </c>
      <c r="F10" s="7">
        <v>112</v>
      </c>
      <c r="G10" s="3">
        <v>3</v>
      </c>
    </row>
    <row r="11" spans="1:7" ht="15.75" customHeight="1" x14ac:dyDescent="0.15">
      <c r="A11" s="7" t="s">
        <v>46</v>
      </c>
      <c r="B11" s="15">
        <v>7</v>
      </c>
      <c r="C11" s="7">
        <v>184</v>
      </c>
      <c r="D11" s="3">
        <v>12</v>
      </c>
      <c r="E11" s="15">
        <v>13</v>
      </c>
      <c r="F11" s="7">
        <v>172</v>
      </c>
      <c r="G11" s="3">
        <v>9</v>
      </c>
    </row>
    <row r="12" spans="1:7" ht="15.75" customHeight="1" x14ac:dyDescent="0.15">
      <c r="A12" s="7" t="s">
        <v>47</v>
      </c>
      <c r="B12" s="15">
        <f t="shared" ref="B12:G12" si="1">ROUND(AVERAGE(B10:B11),1)</f>
        <v>6</v>
      </c>
      <c r="C12" s="7">
        <f t="shared" si="1"/>
        <v>209</v>
      </c>
      <c r="D12" s="3">
        <f t="shared" si="1"/>
        <v>12</v>
      </c>
      <c r="E12" s="15">
        <f t="shared" si="1"/>
        <v>8.5</v>
      </c>
      <c r="F12" s="7">
        <f t="shared" si="1"/>
        <v>142</v>
      </c>
      <c r="G12" s="3">
        <f t="shared" si="1"/>
        <v>6</v>
      </c>
    </row>
    <row r="13" spans="1:7" ht="15.75" customHeight="1" x14ac:dyDescent="0.15">
      <c r="A13" s="1" t="s">
        <v>49</v>
      </c>
      <c r="B13" s="15"/>
      <c r="D13" s="3"/>
      <c r="E13" s="15"/>
      <c r="G13" s="3"/>
    </row>
    <row r="14" spans="1:7" ht="15.75" customHeight="1" x14ac:dyDescent="0.15">
      <c r="A14" s="1" t="s">
        <v>44</v>
      </c>
      <c r="B14" s="15"/>
      <c r="D14" s="3"/>
      <c r="E14" s="15"/>
      <c r="G14" s="3"/>
    </row>
    <row r="15" spans="1:7" ht="15.75" customHeight="1" x14ac:dyDescent="0.15">
      <c r="A15" s="7" t="s">
        <v>45</v>
      </c>
      <c r="B15" s="15">
        <v>1</v>
      </c>
      <c r="C15" s="7">
        <v>0</v>
      </c>
      <c r="D15" s="3">
        <v>299</v>
      </c>
      <c r="E15" s="15">
        <v>2</v>
      </c>
      <c r="F15" s="7">
        <v>0</v>
      </c>
      <c r="G15" s="3">
        <v>171</v>
      </c>
    </row>
    <row r="16" spans="1:7" ht="15.75" customHeight="1" x14ac:dyDescent="0.15">
      <c r="A16" s="7" t="s">
        <v>46</v>
      </c>
      <c r="B16" s="15">
        <v>0</v>
      </c>
      <c r="C16" s="7">
        <v>0</v>
      </c>
      <c r="D16" s="3">
        <v>300</v>
      </c>
      <c r="E16" s="15">
        <v>1</v>
      </c>
      <c r="F16" s="7">
        <v>0</v>
      </c>
      <c r="G16" s="3">
        <v>159</v>
      </c>
    </row>
    <row r="17" spans="1:7" ht="15.75" customHeight="1" x14ac:dyDescent="0.15">
      <c r="A17" s="7" t="s">
        <v>47</v>
      </c>
      <c r="B17" s="15">
        <f t="shared" ref="B17:G17" si="2">ROUND(AVERAGE(B15:B16),1)</f>
        <v>0.5</v>
      </c>
      <c r="C17" s="7">
        <f t="shared" si="2"/>
        <v>0</v>
      </c>
      <c r="D17" s="3">
        <f t="shared" si="2"/>
        <v>299.5</v>
      </c>
      <c r="E17" s="15">
        <f t="shared" si="2"/>
        <v>1.5</v>
      </c>
      <c r="F17" s="7">
        <f t="shared" si="2"/>
        <v>0</v>
      </c>
      <c r="G17" s="3">
        <f t="shared" si="2"/>
        <v>165</v>
      </c>
    </row>
    <row r="18" spans="1:7" ht="15.75" customHeight="1" x14ac:dyDescent="0.15">
      <c r="A18" s="1" t="s">
        <v>48</v>
      </c>
      <c r="B18" s="15"/>
      <c r="D18" s="3"/>
      <c r="E18" s="15"/>
      <c r="G18" s="3"/>
    </row>
    <row r="19" spans="1:7" ht="15.75" customHeight="1" x14ac:dyDescent="0.15">
      <c r="A19" s="7" t="s">
        <v>45</v>
      </c>
      <c r="B19" s="15">
        <v>1</v>
      </c>
      <c r="C19" s="7">
        <v>252</v>
      </c>
      <c r="D19" s="3">
        <v>99</v>
      </c>
      <c r="E19" s="15">
        <v>0</v>
      </c>
      <c r="F19" s="7">
        <v>149</v>
      </c>
      <c r="G19" s="3">
        <v>33</v>
      </c>
    </row>
    <row r="20" spans="1:7" ht="15.75" customHeight="1" x14ac:dyDescent="0.15">
      <c r="A20" s="7" t="s">
        <v>46</v>
      </c>
      <c r="B20" s="15">
        <v>1</v>
      </c>
      <c r="C20" s="7">
        <v>117</v>
      </c>
      <c r="D20" s="3">
        <v>101</v>
      </c>
      <c r="E20" s="15">
        <v>0</v>
      </c>
      <c r="F20" s="7">
        <v>128</v>
      </c>
      <c r="G20" s="3">
        <v>62</v>
      </c>
    </row>
    <row r="21" spans="1:7" ht="15.75" customHeight="1" x14ac:dyDescent="0.15">
      <c r="A21" s="7" t="s">
        <v>47</v>
      </c>
      <c r="B21" s="15">
        <f t="shared" ref="B21:G21" si="3">ROUND(AVERAGE(B19:B20),1)</f>
        <v>1</v>
      </c>
      <c r="C21" s="7">
        <f t="shared" si="3"/>
        <v>184.5</v>
      </c>
      <c r="D21" s="3">
        <f t="shared" si="3"/>
        <v>100</v>
      </c>
      <c r="E21" s="15">
        <f t="shared" si="3"/>
        <v>0</v>
      </c>
      <c r="F21" s="7">
        <f t="shared" si="3"/>
        <v>138.5</v>
      </c>
      <c r="G21" s="3">
        <f t="shared" si="3"/>
        <v>47.5</v>
      </c>
    </row>
    <row r="22" spans="1:7" ht="15.75" customHeight="1" x14ac:dyDescent="0.15">
      <c r="A22" s="1" t="s">
        <v>50</v>
      </c>
      <c r="B22" s="15"/>
      <c r="D22" s="3"/>
      <c r="E22" s="15"/>
      <c r="G22" s="3"/>
    </row>
    <row r="23" spans="1:7" ht="15.75" customHeight="1" x14ac:dyDescent="0.15">
      <c r="A23" s="1" t="s">
        <v>44</v>
      </c>
      <c r="B23" s="15"/>
      <c r="D23" s="3"/>
      <c r="E23" s="15"/>
      <c r="G23" s="3"/>
    </row>
    <row r="24" spans="1:7" ht="15.75" customHeight="1" x14ac:dyDescent="0.15">
      <c r="A24" s="7" t="s">
        <v>45</v>
      </c>
      <c r="B24" s="15">
        <v>1</v>
      </c>
      <c r="C24" s="7">
        <v>0</v>
      </c>
      <c r="D24" s="3">
        <v>302</v>
      </c>
      <c r="E24" s="15">
        <v>1</v>
      </c>
      <c r="F24" s="7">
        <v>0</v>
      </c>
      <c r="G24" s="3">
        <v>151</v>
      </c>
    </row>
    <row r="25" spans="1:7" ht="15.75" customHeight="1" x14ac:dyDescent="0.15">
      <c r="A25" s="7" t="s">
        <v>46</v>
      </c>
      <c r="B25" s="15">
        <v>0</v>
      </c>
      <c r="C25" s="7">
        <v>0</v>
      </c>
      <c r="D25" s="3">
        <v>300</v>
      </c>
      <c r="E25" s="15">
        <v>1</v>
      </c>
      <c r="F25" s="7">
        <v>0</v>
      </c>
      <c r="G25" s="3">
        <v>151</v>
      </c>
    </row>
    <row r="26" spans="1:7" ht="15.75" customHeight="1" x14ac:dyDescent="0.15">
      <c r="A26" s="7" t="s">
        <v>47</v>
      </c>
      <c r="B26" s="15">
        <f t="shared" ref="B26:G26" si="4">ROUND(AVERAGE(B24:B25),1)</f>
        <v>0.5</v>
      </c>
      <c r="C26" s="7">
        <f t="shared" si="4"/>
        <v>0</v>
      </c>
      <c r="D26" s="3">
        <f t="shared" si="4"/>
        <v>301</v>
      </c>
      <c r="E26" s="15">
        <f t="shared" si="4"/>
        <v>1</v>
      </c>
      <c r="F26" s="7">
        <f t="shared" si="4"/>
        <v>0</v>
      </c>
      <c r="G26" s="3">
        <f t="shared" si="4"/>
        <v>151</v>
      </c>
    </row>
    <row r="27" spans="1:7" ht="15.75" customHeight="1" x14ac:dyDescent="0.15">
      <c r="A27" s="1" t="s">
        <v>48</v>
      </c>
      <c r="B27" s="15"/>
      <c r="D27" s="3"/>
      <c r="E27" s="15"/>
      <c r="G27" s="3"/>
    </row>
    <row r="28" spans="1:7" ht="15.75" customHeight="1" x14ac:dyDescent="0.15">
      <c r="A28" s="7" t="s">
        <v>45</v>
      </c>
      <c r="B28" s="15">
        <v>4</v>
      </c>
      <c r="C28" s="7">
        <v>348</v>
      </c>
      <c r="D28" s="3">
        <v>24</v>
      </c>
      <c r="E28" s="15">
        <v>6</v>
      </c>
      <c r="F28" s="7">
        <v>180</v>
      </c>
      <c r="G28" s="3">
        <v>5</v>
      </c>
    </row>
    <row r="29" spans="1:7" ht="15.75" customHeight="1" x14ac:dyDescent="0.15">
      <c r="A29" s="7" t="s">
        <v>46</v>
      </c>
      <c r="B29" s="15">
        <v>4</v>
      </c>
      <c r="C29" s="7">
        <v>171</v>
      </c>
      <c r="D29" s="3">
        <v>47</v>
      </c>
      <c r="E29" s="15">
        <v>5</v>
      </c>
      <c r="F29" s="7">
        <v>174</v>
      </c>
      <c r="G29" s="3">
        <v>21</v>
      </c>
    </row>
    <row r="30" spans="1:7" ht="15.75" customHeight="1" x14ac:dyDescent="0.15">
      <c r="A30" s="7" t="s">
        <v>47</v>
      </c>
      <c r="B30" s="16">
        <f t="shared" ref="B30:G30" si="5">ROUND(AVERAGE(B28:B29),1)</f>
        <v>4</v>
      </c>
      <c r="C30" s="17">
        <f t="shared" si="5"/>
        <v>259.5</v>
      </c>
      <c r="D30" s="18">
        <f t="shared" si="5"/>
        <v>35.5</v>
      </c>
      <c r="E30" s="16">
        <f t="shared" si="5"/>
        <v>5.5</v>
      </c>
      <c r="F30" s="17">
        <f t="shared" si="5"/>
        <v>177</v>
      </c>
      <c r="G30" s="18">
        <f t="shared" si="5"/>
        <v>13</v>
      </c>
    </row>
    <row r="33" spans="1:4" ht="15.75" customHeight="1" x14ac:dyDescent="0.15">
      <c r="A33" s="1" t="s">
        <v>51</v>
      </c>
    </row>
    <row r="34" spans="1:4" ht="15.75" customHeight="1" x14ac:dyDescent="0.15">
      <c r="A34" s="13" t="s">
        <v>52</v>
      </c>
    </row>
    <row r="35" spans="1:4" ht="15.75" customHeight="1" x14ac:dyDescent="0.15">
      <c r="A35" s="13" t="s">
        <v>53</v>
      </c>
    </row>
    <row r="36" spans="1:4" ht="15.75" customHeight="1" x14ac:dyDescent="0.15">
      <c r="A36" s="13" t="s">
        <v>54</v>
      </c>
    </row>
    <row r="37" spans="1:4" ht="15.75" customHeight="1" x14ac:dyDescent="0.15">
      <c r="A37" s="1"/>
    </row>
    <row r="38" spans="1:4" ht="15.75" customHeight="1" x14ac:dyDescent="0.15">
      <c r="A38" s="1" t="s">
        <v>55</v>
      </c>
    </row>
    <row r="39" spans="1:4" ht="15.75" customHeight="1" x14ac:dyDescent="0.15">
      <c r="A39" s="11" t="s">
        <v>25</v>
      </c>
      <c r="B39" s="9"/>
      <c r="C39" s="9"/>
      <c r="D39" s="9"/>
    </row>
    <row r="40" spans="1:4" ht="15.75" customHeight="1" x14ac:dyDescent="0.15">
      <c r="A40" s="9" t="s">
        <v>23</v>
      </c>
      <c r="B40" s="9" t="s">
        <v>56</v>
      </c>
      <c r="C40" s="9" t="s">
        <v>57</v>
      </c>
      <c r="D40" s="9" t="s">
        <v>5</v>
      </c>
    </row>
    <row r="41" spans="1:4" ht="15.75" customHeight="1" x14ac:dyDescent="0.15">
      <c r="A41" s="7" t="s">
        <v>58</v>
      </c>
      <c r="B41" s="7">
        <v>1795</v>
      </c>
      <c r="C41" s="7">
        <f t="shared" ref="C41:C45" si="6">ROUND(B41/300,1)</f>
        <v>6</v>
      </c>
      <c r="D41" s="7" t="s">
        <v>59</v>
      </c>
    </row>
    <row r="42" spans="1:4" ht="15.75" customHeight="1" x14ac:dyDescent="0.15">
      <c r="A42" s="7" t="s">
        <v>60</v>
      </c>
      <c r="B42" s="7">
        <v>1798</v>
      </c>
      <c r="C42" s="7">
        <f t="shared" si="6"/>
        <v>6</v>
      </c>
    </row>
    <row r="43" spans="1:4" ht="15.75" customHeight="1" x14ac:dyDescent="0.15">
      <c r="A43" s="7" t="s">
        <v>61</v>
      </c>
      <c r="B43" s="7">
        <v>12056</v>
      </c>
      <c r="C43" s="7">
        <f t="shared" si="6"/>
        <v>40.200000000000003</v>
      </c>
      <c r="D43" s="7" t="s">
        <v>62</v>
      </c>
    </row>
    <row r="44" spans="1:4" ht="15.75" customHeight="1" x14ac:dyDescent="0.15">
      <c r="A44" s="7" t="s">
        <v>63</v>
      </c>
      <c r="B44" s="7">
        <v>0</v>
      </c>
      <c r="C44" s="7">
        <f t="shared" si="6"/>
        <v>0</v>
      </c>
      <c r="D44" s="7" t="s">
        <v>64</v>
      </c>
    </row>
    <row r="45" spans="1:4" ht="15.75" customHeight="1" x14ac:dyDescent="0.15">
      <c r="A45" s="7" t="s">
        <v>65</v>
      </c>
      <c r="B45" s="7">
        <v>599</v>
      </c>
      <c r="C45" s="7">
        <f t="shared" si="6"/>
        <v>2</v>
      </c>
    </row>
    <row r="47" spans="1:4" ht="15.75" customHeight="1" x14ac:dyDescent="0.15">
      <c r="A47" s="9" t="s">
        <v>24</v>
      </c>
      <c r="B47" s="9" t="s">
        <v>56</v>
      </c>
      <c r="C47" s="9" t="s">
        <v>57</v>
      </c>
      <c r="D47" s="9" t="s">
        <v>5</v>
      </c>
    </row>
    <row r="48" spans="1:4" ht="15.75" customHeight="1" x14ac:dyDescent="0.15">
      <c r="A48" s="7" t="s">
        <v>58</v>
      </c>
      <c r="B48" s="7">
        <v>1623</v>
      </c>
      <c r="C48" s="7">
        <f t="shared" ref="C48:C52" si="7">ROUND(B48/300,1)</f>
        <v>5.4</v>
      </c>
    </row>
    <row r="49" spans="1:4" ht="15.75" customHeight="1" x14ac:dyDescent="0.15">
      <c r="A49" s="7" t="s">
        <v>60</v>
      </c>
      <c r="B49" s="7">
        <v>1428</v>
      </c>
      <c r="C49" s="7">
        <f t="shared" si="7"/>
        <v>4.8</v>
      </c>
    </row>
    <row r="50" spans="1:4" ht="15.75" customHeight="1" x14ac:dyDescent="0.15">
      <c r="A50" s="7" t="s">
        <v>61</v>
      </c>
      <c r="B50" s="7">
        <v>6044</v>
      </c>
      <c r="C50" s="7">
        <f t="shared" si="7"/>
        <v>20.100000000000001</v>
      </c>
    </row>
    <row r="51" spans="1:4" ht="13" x14ac:dyDescent="0.15">
      <c r="A51" s="7" t="s">
        <v>63</v>
      </c>
      <c r="B51" s="7">
        <v>1</v>
      </c>
      <c r="C51" s="7">
        <f t="shared" si="7"/>
        <v>0</v>
      </c>
    </row>
    <row r="52" spans="1:4" ht="13" x14ac:dyDescent="0.15">
      <c r="A52" s="7" t="s">
        <v>65</v>
      </c>
      <c r="B52" s="7">
        <v>465</v>
      </c>
      <c r="C52" s="7">
        <f t="shared" si="7"/>
        <v>1.6</v>
      </c>
    </row>
    <row r="54" spans="1:4" ht="13" x14ac:dyDescent="0.15">
      <c r="A54" s="1" t="s">
        <v>43</v>
      </c>
    </row>
    <row r="55" spans="1:4" ht="13" x14ac:dyDescent="0.15">
      <c r="A55" s="11" t="s">
        <v>25</v>
      </c>
      <c r="B55" s="9"/>
      <c r="C55" s="9"/>
      <c r="D55" s="9"/>
    </row>
    <row r="56" spans="1:4" ht="13" x14ac:dyDescent="0.15">
      <c r="A56" s="9" t="s">
        <v>23</v>
      </c>
      <c r="B56" s="9" t="s">
        <v>56</v>
      </c>
      <c r="C56" s="9" t="s">
        <v>57</v>
      </c>
      <c r="D56" s="9" t="s">
        <v>5</v>
      </c>
    </row>
    <row r="57" spans="1:4" ht="13" x14ac:dyDescent="0.15">
      <c r="A57" s="7" t="s">
        <v>58</v>
      </c>
      <c r="B57" s="7">
        <v>1000</v>
      </c>
      <c r="C57" s="7">
        <f t="shared" ref="C57:C61" si="8">ROUND(B57/150,1)</f>
        <v>6.7</v>
      </c>
      <c r="D57" s="7" t="s">
        <v>66</v>
      </c>
    </row>
    <row r="58" spans="1:4" ht="13" x14ac:dyDescent="0.15">
      <c r="A58" s="7" t="s">
        <v>60</v>
      </c>
      <c r="B58" s="7">
        <v>900</v>
      </c>
      <c r="C58" s="7">
        <f t="shared" si="8"/>
        <v>6</v>
      </c>
    </row>
    <row r="59" spans="1:4" ht="13" x14ac:dyDescent="0.15">
      <c r="A59" s="7" t="s">
        <v>61</v>
      </c>
      <c r="B59" s="7">
        <v>5523</v>
      </c>
      <c r="C59" s="7">
        <f t="shared" si="8"/>
        <v>36.799999999999997</v>
      </c>
    </row>
    <row r="60" spans="1:4" ht="13" x14ac:dyDescent="0.15">
      <c r="A60" s="7" t="s">
        <v>63</v>
      </c>
      <c r="B60" s="7">
        <v>0</v>
      </c>
      <c r="C60" s="7">
        <f t="shared" si="8"/>
        <v>0</v>
      </c>
    </row>
    <row r="61" spans="1:4" ht="13" x14ac:dyDescent="0.15">
      <c r="A61" s="7" t="s">
        <v>65</v>
      </c>
      <c r="B61" s="7">
        <v>800</v>
      </c>
      <c r="C61" s="7">
        <f t="shared" si="8"/>
        <v>5.3</v>
      </c>
    </row>
    <row r="63" spans="1:4" ht="13" x14ac:dyDescent="0.15">
      <c r="A63" s="9" t="s">
        <v>24</v>
      </c>
      <c r="B63" s="9" t="s">
        <v>56</v>
      </c>
      <c r="C63" s="9" t="s">
        <v>57</v>
      </c>
      <c r="D63" s="9" t="s">
        <v>5</v>
      </c>
    </row>
    <row r="64" spans="1:4" ht="13" x14ac:dyDescent="0.15">
      <c r="A64" s="7" t="s">
        <v>58</v>
      </c>
      <c r="B64" s="7">
        <v>1076</v>
      </c>
      <c r="C64" s="7">
        <f t="shared" ref="C64:C68" si="9">ROUND(B64/150,1)</f>
        <v>7.2</v>
      </c>
    </row>
    <row r="65" spans="1:3" ht="13" x14ac:dyDescent="0.15">
      <c r="A65" s="7" t="s">
        <v>60</v>
      </c>
      <c r="B65" s="7">
        <v>900</v>
      </c>
      <c r="C65" s="7">
        <f t="shared" si="9"/>
        <v>6</v>
      </c>
    </row>
    <row r="66" spans="1:3" ht="13" x14ac:dyDescent="0.15">
      <c r="A66" s="7" t="s">
        <v>61</v>
      </c>
      <c r="B66" s="7">
        <v>3326</v>
      </c>
      <c r="C66" s="7">
        <f t="shared" si="9"/>
        <v>22.2</v>
      </c>
    </row>
    <row r="67" spans="1:3" ht="13" x14ac:dyDescent="0.15">
      <c r="A67" s="7" t="s">
        <v>63</v>
      </c>
      <c r="B67" s="7">
        <v>2</v>
      </c>
      <c r="C67" s="7">
        <f t="shared" si="9"/>
        <v>0</v>
      </c>
    </row>
    <row r="68" spans="1:3" ht="13" x14ac:dyDescent="0.15">
      <c r="A68" s="7" t="s">
        <v>65</v>
      </c>
      <c r="B68" s="7">
        <v>598</v>
      </c>
      <c r="C68" s="7">
        <f t="shared" si="9"/>
        <v>4</v>
      </c>
    </row>
    <row r="70" spans="1:3" ht="13" x14ac:dyDescent="0.15">
      <c r="A70" s="1" t="s">
        <v>67</v>
      </c>
    </row>
    <row r="72" spans="1:3" ht="13" x14ac:dyDescent="0.15">
      <c r="A72" s="7" t="s">
        <v>68</v>
      </c>
    </row>
    <row r="73" spans="1:3" ht="13" x14ac:dyDescent="0.15">
      <c r="A73" s="13" t="s">
        <v>69</v>
      </c>
    </row>
    <row r="74" spans="1:3" ht="13" x14ac:dyDescent="0.15">
      <c r="A74" s="7" t="s">
        <v>70</v>
      </c>
    </row>
    <row r="75" spans="1:3" ht="13" x14ac:dyDescent="0.15">
      <c r="A75" s="13" t="s">
        <v>71</v>
      </c>
    </row>
    <row r="76" spans="1:3" ht="13" x14ac:dyDescent="0.15">
      <c r="A76" s="7" t="s">
        <v>72</v>
      </c>
    </row>
    <row r="77" spans="1:3" ht="13" x14ac:dyDescent="0.15">
      <c r="A77" s="13" t="s">
        <v>73</v>
      </c>
    </row>
    <row r="78" spans="1:3" ht="13" x14ac:dyDescent="0.15">
      <c r="A78" s="1"/>
    </row>
    <row r="79" spans="1:3" ht="13" x14ac:dyDescent="0.15">
      <c r="A79" s="1" t="s">
        <v>43</v>
      </c>
    </row>
    <row r="80" spans="1:3" ht="13" x14ac:dyDescent="0.15">
      <c r="A80" s="11" t="s">
        <v>25</v>
      </c>
    </row>
    <row r="81" spans="1:5" ht="13" x14ac:dyDescent="0.15">
      <c r="A81" s="9" t="s">
        <v>23</v>
      </c>
      <c r="B81" s="7"/>
    </row>
    <row r="82" spans="1:5" ht="13" x14ac:dyDescent="0.15">
      <c r="A82" s="7" t="s">
        <v>74</v>
      </c>
      <c r="B82" s="7">
        <v>554</v>
      </c>
      <c r="D82" s="7" t="s">
        <v>75</v>
      </c>
      <c r="E82" s="7">
        <f>ROUND((B82/B59) * 100,2)</f>
        <v>10.029999999999999</v>
      </c>
    </row>
    <row r="83" spans="1:5" ht="13" x14ac:dyDescent="0.15">
      <c r="A83" s="7" t="s">
        <v>72</v>
      </c>
      <c r="B83" s="7">
        <v>0</v>
      </c>
    </row>
    <row r="84" spans="1:5" ht="13" x14ac:dyDescent="0.15">
      <c r="A84" s="7" t="s">
        <v>70</v>
      </c>
      <c r="B84" s="7">
        <v>4</v>
      </c>
    </row>
    <row r="86" spans="1:5" ht="13" x14ac:dyDescent="0.15">
      <c r="A86" s="9" t="s">
        <v>24</v>
      </c>
    </row>
    <row r="87" spans="1:5" ht="13" x14ac:dyDescent="0.15">
      <c r="A87" s="7" t="s">
        <v>74</v>
      </c>
      <c r="B87" s="7">
        <v>127</v>
      </c>
      <c r="D87" s="7" t="s">
        <v>75</v>
      </c>
      <c r="E87" s="7">
        <f>ROUND((B87/B66) * 100,2)</f>
        <v>3.82</v>
      </c>
    </row>
    <row r="88" spans="1:5" ht="13" x14ac:dyDescent="0.15">
      <c r="A88" s="7" t="s">
        <v>72</v>
      </c>
      <c r="B88" s="7">
        <v>11</v>
      </c>
    </row>
    <row r="89" spans="1:5" ht="13" x14ac:dyDescent="0.15">
      <c r="A89" s="7" t="s">
        <v>70</v>
      </c>
      <c r="B89" s="7">
        <v>9</v>
      </c>
    </row>
    <row r="91" spans="1:5" ht="13" x14ac:dyDescent="0.15">
      <c r="A91" s="1" t="s">
        <v>42</v>
      </c>
    </row>
    <row r="92" spans="1:5" ht="13" x14ac:dyDescent="0.15">
      <c r="A92" s="11" t="s">
        <v>25</v>
      </c>
    </row>
    <row r="93" spans="1:5" ht="13" x14ac:dyDescent="0.15">
      <c r="A93" s="9" t="s">
        <v>23</v>
      </c>
    </row>
    <row r="94" spans="1:5" ht="13" x14ac:dyDescent="0.15">
      <c r="A94" s="7" t="s">
        <v>74</v>
      </c>
      <c r="B94" s="7">
        <v>1518</v>
      </c>
      <c r="D94" s="7" t="s">
        <v>75</v>
      </c>
      <c r="E94" s="7">
        <f>ROUND((B94/B43) * 100,2)</f>
        <v>12.59</v>
      </c>
    </row>
    <row r="95" spans="1:5" ht="13" x14ac:dyDescent="0.15">
      <c r="A95" s="7" t="s">
        <v>72</v>
      </c>
      <c r="B95" s="7">
        <v>0</v>
      </c>
    </row>
    <row r="96" spans="1:5" ht="13" x14ac:dyDescent="0.15">
      <c r="A96" s="7" t="s">
        <v>70</v>
      </c>
      <c r="B96" s="7">
        <v>2</v>
      </c>
    </row>
    <row r="98" spans="1:5" ht="13" x14ac:dyDescent="0.15">
      <c r="A98" s="9" t="s">
        <v>24</v>
      </c>
    </row>
    <row r="99" spans="1:5" ht="13" x14ac:dyDescent="0.15">
      <c r="A99" s="7" t="s">
        <v>74</v>
      </c>
      <c r="B99" s="7">
        <v>384</v>
      </c>
      <c r="D99" s="7" t="s">
        <v>75</v>
      </c>
      <c r="E99" s="7">
        <f>ROUND((B99/B50) * 100,2)</f>
        <v>6.35</v>
      </c>
    </row>
    <row r="100" spans="1:5" ht="13" x14ac:dyDescent="0.15">
      <c r="A100" s="7" t="s">
        <v>72</v>
      </c>
      <c r="B100" s="7">
        <v>18</v>
      </c>
    </row>
    <row r="101" spans="1:5" ht="13" x14ac:dyDescent="0.15">
      <c r="A101" s="7" t="s">
        <v>70</v>
      </c>
      <c r="B101" s="7">
        <v>12</v>
      </c>
    </row>
  </sheetData>
  <mergeCells count="2">
    <mergeCell ref="B4:D4"/>
    <mergeCell ref="E4:G4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 results</vt:lpstr>
      <vt:lpstr>Logs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Genevieve Caumartin</cp:lastModifiedBy>
  <dcterms:modified xsi:type="dcterms:W3CDTF">2025-10-25T16:55:21Z</dcterms:modified>
</cp:coreProperties>
</file>